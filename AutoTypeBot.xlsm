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filterPrivacy="1" codeName="EstaPastaDeTrabalho"/>
  <xr:revisionPtr revIDLastSave="0" documentId="13_ncr:1_{9766BF7F-0D64-40E6-BCF1-1CFEDBDC5B81}" xr6:coauthVersionLast="45" xr6:coauthVersionMax="45" xr10:uidLastSave="{00000000-0000-0000-0000-000000000000}"/>
  <bookViews>
    <workbookView xWindow="-120" yWindow="-120" windowWidth="28110" windowHeight="16440" xr2:uid="{00000000-000D-0000-FFFF-FFFF00000000}"/>
  </bookViews>
  <sheets>
    <sheet name="Front" sheetId="2" r:id="rId1"/>
    <sheet name="Prices" sheetId="6" r:id="rId2"/>
    <sheet name="Data Validation" sheetId="5" r:id="rId3"/>
  </sheets>
  <definedNames>
    <definedName name="_xlnm._FilterDatabase" localSheetId="0" hidden="1">Front!$D$2:$H$2</definedName>
    <definedName name="_xlnm._FilterDatabase" localSheetId="1" hidden="1">Prices!$A$1:$B$1397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7" i="2" l="1"/>
  <c r="H15" i="2" l="1"/>
  <c r="H14" i="2"/>
  <c r="H13" i="2"/>
  <c r="H12" i="2"/>
  <c r="H11" i="2"/>
  <c r="H10" i="2"/>
  <c r="H9" i="2"/>
  <c r="H8" i="2"/>
  <c r="H7" i="2"/>
  <c r="H6" i="2"/>
  <c r="H5" i="2"/>
  <c r="H4" i="2"/>
  <c r="H502" i="2" l="1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3" i="2"/>
  <c r="K8" i="2" l="1"/>
  <c r="K5" i="2"/>
  <c r="K4" i="2"/>
  <c r="K3" i="2"/>
  <c r="F160" i="2" l="1"/>
  <c r="F25" i="2"/>
  <c r="F41" i="2"/>
  <c r="F57" i="2"/>
  <c r="F73" i="2"/>
  <c r="F89" i="2"/>
  <c r="F105" i="2"/>
  <c r="F121" i="2"/>
  <c r="F137" i="2"/>
  <c r="F153" i="2"/>
  <c r="F18" i="2"/>
  <c r="F34" i="2"/>
  <c r="F50" i="2"/>
  <c r="F66" i="2"/>
  <c r="F82" i="2"/>
  <c r="F98" i="2"/>
  <c r="F114" i="2"/>
  <c r="F130" i="2"/>
  <c r="F146" i="2"/>
  <c r="F19" i="2"/>
  <c r="F35" i="2"/>
  <c r="F51" i="2"/>
  <c r="F67" i="2"/>
  <c r="F83" i="2"/>
  <c r="F99" i="2"/>
  <c r="F115" i="2"/>
  <c r="F131" i="2"/>
  <c r="F147" i="2"/>
  <c r="F15" i="2"/>
  <c r="F28" i="2"/>
  <c r="F44" i="2"/>
  <c r="F60" i="2"/>
  <c r="F76" i="2"/>
  <c r="F92" i="2"/>
  <c r="F108" i="2"/>
  <c r="F124" i="2"/>
  <c r="F140" i="2"/>
  <c r="F156" i="2"/>
  <c r="F69" i="2"/>
  <c r="F117" i="2"/>
  <c r="F14" i="2"/>
  <c r="F62" i="2"/>
  <c r="F110" i="2"/>
  <c r="F158" i="2"/>
  <c r="F63" i="2"/>
  <c r="F111" i="2"/>
  <c r="F159" i="2"/>
  <c r="F13" i="2"/>
  <c r="F29" i="2"/>
  <c r="F45" i="2"/>
  <c r="F61" i="2"/>
  <c r="F77" i="2"/>
  <c r="F93" i="2"/>
  <c r="F109" i="2"/>
  <c r="F125" i="2"/>
  <c r="F141" i="2"/>
  <c r="F157" i="2"/>
  <c r="F22" i="2"/>
  <c r="F38" i="2"/>
  <c r="F54" i="2"/>
  <c r="F70" i="2"/>
  <c r="F86" i="2"/>
  <c r="F102" i="2"/>
  <c r="F118" i="2"/>
  <c r="F134" i="2"/>
  <c r="F150" i="2"/>
  <c r="F23" i="2"/>
  <c r="F39" i="2"/>
  <c r="F55" i="2"/>
  <c r="F71" i="2"/>
  <c r="F87" i="2"/>
  <c r="F103" i="2"/>
  <c r="F119" i="2"/>
  <c r="F135" i="2"/>
  <c r="F151" i="2"/>
  <c r="F16" i="2"/>
  <c r="F32" i="2"/>
  <c r="F48" i="2"/>
  <c r="F64" i="2"/>
  <c r="F80" i="2"/>
  <c r="F96" i="2"/>
  <c r="F112" i="2"/>
  <c r="F128" i="2"/>
  <c r="F144" i="2"/>
  <c r="F21" i="2"/>
  <c r="F53" i="2"/>
  <c r="F101" i="2"/>
  <c r="F149" i="2"/>
  <c r="F46" i="2"/>
  <c r="F94" i="2"/>
  <c r="F142" i="2"/>
  <c r="F47" i="2"/>
  <c r="F95" i="2"/>
  <c r="F143" i="2"/>
  <c r="F40" i="2"/>
  <c r="F72" i="2"/>
  <c r="F88" i="2"/>
  <c r="F104" i="2"/>
  <c r="F136" i="2"/>
  <c r="F17" i="2"/>
  <c r="F33" i="2"/>
  <c r="F49" i="2"/>
  <c r="F65" i="2"/>
  <c r="F81" i="2"/>
  <c r="F97" i="2"/>
  <c r="F113" i="2"/>
  <c r="F129" i="2"/>
  <c r="F145" i="2"/>
  <c r="F12" i="2"/>
  <c r="F26" i="2"/>
  <c r="F42" i="2"/>
  <c r="F58" i="2"/>
  <c r="F74" i="2"/>
  <c r="F90" i="2"/>
  <c r="F106" i="2"/>
  <c r="F122" i="2"/>
  <c r="F138" i="2"/>
  <c r="F154" i="2"/>
  <c r="F27" i="2"/>
  <c r="F43" i="2"/>
  <c r="F59" i="2"/>
  <c r="F75" i="2"/>
  <c r="F91" i="2"/>
  <c r="F107" i="2"/>
  <c r="F123" i="2"/>
  <c r="F139" i="2"/>
  <c r="F155" i="2"/>
  <c r="F20" i="2"/>
  <c r="F36" i="2"/>
  <c r="F52" i="2"/>
  <c r="F68" i="2"/>
  <c r="F84" i="2"/>
  <c r="F100" i="2"/>
  <c r="F116" i="2"/>
  <c r="F132" i="2"/>
  <c r="F148" i="2"/>
  <c r="F37" i="2"/>
  <c r="F85" i="2"/>
  <c r="F133" i="2"/>
  <c r="F30" i="2"/>
  <c r="F78" i="2"/>
  <c r="F126" i="2"/>
  <c r="F31" i="2"/>
  <c r="F79" i="2"/>
  <c r="F127" i="2"/>
  <c r="F24" i="2"/>
  <c r="F56" i="2"/>
  <c r="F120" i="2"/>
  <c r="F152" i="2"/>
  <c r="F11" i="2"/>
  <c r="F6" i="2"/>
  <c r="F7" i="2"/>
  <c r="F4" i="2"/>
  <c r="F3" i="2"/>
  <c r="F9" i="2"/>
  <c r="F10" i="2"/>
  <c r="F5" i="2"/>
  <c r="F8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K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tc={8DE6BE7B-F4F7-4B0A-825D-A5D5252CA879}</author>
    <author>tc={8F6601FD-3FBB-42C4-9A95-83606C48AABE}</author>
  </authors>
  <commentList>
    <comment ref="H2" authorId="0" shapeId="0" xr:uid="{8DE6BE7B-F4F7-4B0A-825D-A5D5252CA87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Preencher a aba "Preços" com o código P12 na coluna A e os preços na coluna B.</t>
      </text>
    </comment>
    <comment ref="B8" authorId="1" shapeId="0" xr:uid="{8F6601FD-3FBB-42C4-9A95-83606C48AAB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Deixar a formatação da célula como texto. 
Não alterar para número.</t>
      </text>
    </comment>
  </commentList>
</comments>
</file>

<file path=xl/sharedStrings.xml><?xml version="1.0" encoding="utf-8"?>
<sst xmlns="http://schemas.openxmlformats.org/spreadsheetml/2006/main" count="77" uniqueCount="53">
  <si>
    <t>Extra</t>
  </si>
  <si>
    <t>Digitação rápida:</t>
  </si>
  <si>
    <t>WPD</t>
  </si>
  <si>
    <t>4008</t>
  </si>
  <si>
    <t>V 1.0</t>
  </si>
  <si>
    <t>AutoTypeBot</t>
  </si>
  <si>
    <t>Strat from line:</t>
  </si>
  <si>
    <t>Type:</t>
  </si>
  <si>
    <t>Motif:</t>
  </si>
  <si>
    <t>Stock Adress:</t>
  </si>
  <si>
    <t>Configurations:</t>
  </si>
  <si>
    <t>Fast typing:</t>
  </si>
  <si>
    <t>CODE:</t>
  </si>
  <si>
    <t>COMMENTS:</t>
  </si>
  <si>
    <t>Price:</t>
  </si>
  <si>
    <t>Information:</t>
  </si>
  <si>
    <t>Report:</t>
  </si>
  <si>
    <t>Code:</t>
  </si>
  <si>
    <t>Value:</t>
  </si>
  <si>
    <t>LINE:</t>
  </si>
  <si>
    <t>Acronym:</t>
  </si>
  <si>
    <t>Monthly</t>
  </si>
  <si>
    <t>Biweekly</t>
  </si>
  <si>
    <t>Weekly</t>
  </si>
  <si>
    <t>Others</t>
  </si>
  <si>
    <t>Yes</t>
  </si>
  <si>
    <t>No</t>
  </si>
  <si>
    <t>Stock Location:</t>
  </si>
  <si>
    <t>Name</t>
  </si>
  <si>
    <t>ZHI</t>
  </si>
  <si>
    <t>BUI</t>
  </si>
  <si>
    <t>DGO</t>
  </si>
  <si>
    <t>WVO</t>
  </si>
  <si>
    <t>CTQ</t>
  </si>
  <si>
    <t>YSX</t>
  </si>
  <si>
    <t>System:</t>
  </si>
  <si>
    <t>ABC 1</t>
  </si>
  <si>
    <t>ABC 2</t>
  </si>
  <si>
    <t>Stock Code</t>
  </si>
  <si>
    <t>YSX Unity</t>
  </si>
  <si>
    <t>ZHI Unity</t>
  </si>
  <si>
    <t>BUI Unity</t>
  </si>
  <si>
    <t>DGO Unity</t>
  </si>
  <si>
    <t>WVO Unity</t>
  </si>
  <si>
    <t>CTQ Unity</t>
  </si>
  <si>
    <t>Scheduled</t>
  </si>
  <si>
    <t>Emergency</t>
  </si>
  <si>
    <t>Regularization</t>
  </si>
  <si>
    <t>Number of Items:</t>
  </si>
  <si>
    <t>Location:</t>
  </si>
  <si>
    <t>Stock Code:</t>
  </si>
  <si>
    <t>QUANTITY:</t>
  </si>
  <si>
    <t>PRICE: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</si>
</sst>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Wingdings"/>
      <charset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1" fillId="4" borderId="1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0" fontId="3" fillId="2" borderId="1" xfId="0" applyFont="1" applyFill="1" applyBorder="1" applyAlignment="1">
      <alignment horizontal="center"/>
    </xf>
    <xf numFmtId="0" fontId="0" fillId="3" borderId="1" xfId="0" applyFill="1" applyBorder="1"/>
    <xf numFmtId="0" fontId="4" fillId="3" borderId="0" xfId="0" applyFont="1" applyFill="1"/>
    <xf numFmtId="0" fontId="2" fillId="3" borderId="0" xfId="0" applyFont="1" applyFill="1"/>
    <xf numFmtId="0" fontId="0" fillId="5" borderId="2" xfId="0" applyFont="1" applyFill="1" applyBorder="1" applyAlignment="1">
      <alignment horizontal="center"/>
    </xf>
    <xf numFmtId="0" fontId="0" fillId="3" borderId="0" xfId="0" applyFill="1" applyBorder="1"/>
    <xf numFmtId="0" fontId="5" fillId="3" borderId="0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49" fontId="2" fillId="3" borderId="1" xfId="0" applyNumberFormat="1" applyFont="1" applyFill="1" applyBorder="1" applyAlignment="1" applyProtection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19</xdr:row>
      <xdr:rowOff>9525</xdr:rowOff>
    </xdr:from>
    <xdr:to>
      <xdr:col>1</xdr:col>
      <xdr:colOff>457200</xdr:colOff>
      <xdr:row>22</xdr:row>
      <xdr:rowOff>123825</xdr:rowOff>
    </xdr:to>
    <xdr:sp macro="[0]!Digitex" textlink="">
      <xdr:nvSpPr>
        <xdr:cNvPr id="2" name="Retângulo 1">
          <a:extLst>
            <a:ext uri="{FF2B5EF4-FFF2-40B4-BE49-F238E27FC236}">
              <a16:creationId xmlns:a16="http://schemas.microsoft.com/office/drawing/2014/main" id="{CA3A0CD7-3BD8-425F-AA82-681FA92A73E7}"/>
            </a:ext>
          </a:extLst>
        </xdr:cNvPr>
        <xdr:cNvSpPr/>
      </xdr:nvSpPr>
      <xdr:spPr>
        <a:xfrm>
          <a:off x="142875" y="3629025"/>
          <a:ext cx="1828800" cy="6858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aseline="0"/>
            <a:t>Start Typing</a:t>
          </a:r>
        </a:p>
      </xdr:txBody>
    </xdr:sp>
    <xdr:clientData/>
  </xdr:twoCellAnchor>
  <xdr:twoCellAnchor>
    <xdr:from>
      <xdr:col>0</xdr:col>
      <xdr:colOff>123825</xdr:colOff>
      <xdr:row>24</xdr:row>
      <xdr:rowOff>0</xdr:rowOff>
    </xdr:from>
    <xdr:to>
      <xdr:col>1</xdr:col>
      <xdr:colOff>439392</xdr:colOff>
      <xdr:row>27</xdr:row>
      <xdr:rowOff>114300</xdr:rowOff>
    </xdr:to>
    <xdr:sp macro="[0]!CleanProducts" textlink="">
      <xdr:nvSpPr>
        <xdr:cNvPr id="4" name="Retângulo 3">
          <a:extLst>
            <a:ext uri="{FF2B5EF4-FFF2-40B4-BE49-F238E27FC236}">
              <a16:creationId xmlns:a16="http://schemas.microsoft.com/office/drawing/2014/main" id="{2D48F538-142D-43CA-9477-38801C1CF097}"/>
            </a:ext>
          </a:extLst>
        </xdr:cNvPr>
        <xdr:cNvSpPr/>
      </xdr:nvSpPr>
      <xdr:spPr>
        <a:xfrm>
          <a:off x="123825" y="4572000"/>
          <a:ext cx="1830042" cy="685800"/>
        </a:xfrm>
        <a:prstGeom prst="rect">
          <a:avLst/>
        </a:prstGeom>
        <a:solidFill>
          <a:schemeClr val="tx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r"/>
          <a:r>
            <a:rPr lang="pt-BR" sz="1400" baseline="0">
              <a:solidFill>
                <a:srgbClr val="00B0F0"/>
              </a:solidFill>
            </a:rPr>
            <a:t>Clean Sheet    </a:t>
          </a:r>
          <a:r>
            <a:rPr lang="pt-BR" sz="1600" baseline="0">
              <a:solidFill>
                <a:srgbClr val="00B0F0"/>
              </a:solidFill>
            </a:rPr>
            <a:t>   </a:t>
          </a:r>
        </a:p>
      </xdr:txBody>
    </xdr:sp>
    <xdr:clientData/>
  </xdr:twoCellAnchor>
  <xdr:twoCellAnchor editAs="oneCell">
    <xdr:from>
      <xdr:col>0</xdr:col>
      <xdr:colOff>123825</xdr:colOff>
      <xdr:row>24</xdr:row>
      <xdr:rowOff>9525</xdr:rowOff>
    </xdr:from>
    <xdr:to>
      <xdr:col>0</xdr:col>
      <xdr:colOff>866775</xdr:colOff>
      <xdr:row>27</xdr:row>
      <xdr:rowOff>180975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C7E9033-4D2E-4BF0-9002-AD52048FC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4581525"/>
          <a:ext cx="742950" cy="742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" dT="2020-03-17T14:32:22.81" personId="{00000000-0000-0000-0000-000000000000}" id="{8DE6BE7B-F4F7-4B0A-825D-A5D5252CA879}">
    <text>Preencher a aba "Preços" com o código P12 na coluna A e os preços na coluna B.</text>
  </threadedComment>
  <threadedComment ref="B8" dT="2020-03-17T14:29:09.45" personId="{00000000-0000-0000-0000-000000000000}" id="{8F6601FD-3FBB-42C4-9A95-83606C48AABE}">
    <text>Deixar a formatação da célula como texto. 
Não alterar para número.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E86CF-9036-46E0-9684-860B0838A491}">
  <sheetPr codeName="Planilha2">
    <tabColor theme="0"/>
    <pageSetUpPr autoPageBreaks="0"/>
  </sheetPr>
  <dimension ref="A1:AD503"/>
  <sheetViews>
    <sheetView tabSelected="1" zoomScaleNormal="100" workbookViewId="0">
      <selection activeCell="A15" sqref="A15"/>
    </sheetView>
  </sheetViews>
  <sheetFormatPr defaultRowHeight="15" x14ac:dyDescent="0.25"/>
  <cols>
    <col min="1" max="1" width="22.7109375" bestFit="1" customWidth="1"/>
    <col min="3" max="3" width="6" customWidth="1"/>
    <col min="5" max="5" width="11.140625" style="1" customWidth="1"/>
    <col min="6" max="6" width="45" style="1" customWidth="1"/>
    <col min="7" max="8" width="18" style="1" customWidth="1"/>
    <col min="9" max="9" width="3.140625" customWidth="1"/>
    <col min="10" max="10" width="20.5703125" bestFit="1" customWidth="1"/>
    <col min="11" max="11" width="26.28515625" style="1" customWidth="1"/>
    <col min="12" max="13" width="18.85546875" customWidth="1"/>
    <col min="14" max="14" width="20.42578125" hidden="1" customWidth="1"/>
    <col min="15" max="15" width="20.5703125" customWidth="1"/>
  </cols>
  <sheetData>
    <row r="1" spans="1:30" x14ac:dyDescent="0.25">
      <c r="A1" s="3"/>
      <c r="B1" s="3"/>
      <c r="C1" s="17"/>
      <c r="D1" s="3"/>
      <c r="E1" s="4"/>
      <c r="F1" s="4"/>
      <c r="G1" s="4"/>
      <c r="H1" s="4"/>
      <c r="I1" s="3"/>
      <c r="J1" s="3"/>
      <c r="K1" s="4"/>
      <c r="L1" s="3"/>
      <c r="M1" s="3"/>
      <c r="N1" s="3"/>
      <c r="O1" s="3"/>
      <c r="P1" s="3"/>
      <c r="Q1" s="3"/>
    </row>
    <row r="2" spans="1:30" x14ac:dyDescent="0.25">
      <c r="A2" s="9" t="s">
        <v>5</v>
      </c>
      <c r="B2" s="16" t="s">
        <v>4</v>
      </c>
      <c r="C2" s="17"/>
      <c r="D2" s="2" t="s">
        <v>19</v>
      </c>
      <c r="E2" s="2" t="s">
        <v>12</v>
      </c>
      <c r="F2" s="2" t="s">
        <v>13</v>
      </c>
      <c r="G2" s="2" t="s">
        <v>51</v>
      </c>
      <c r="H2" s="23" t="s">
        <v>52</v>
      </c>
      <c r="I2" s="3"/>
      <c r="J2" s="12" t="s">
        <v>16</v>
      </c>
      <c r="K2" s="12" t="s">
        <v>15</v>
      </c>
      <c r="L2" s="3"/>
      <c r="M2" s="3"/>
      <c r="N2" s="3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</row>
    <row r="3" spans="1:30" x14ac:dyDescent="0.25">
      <c r="A3" s="7" t="s">
        <v>6</v>
      </c>
      <c r="B3" s="6">
        <v>1</v>
      </c>
      <c r="C3" s="18" t="str">
        <f>IFERROR(IF(MATCH($B$3,D:D)-2=D3,"à",""),"")</f>
        <v>à</v>
      </c>
      <c r="D3" s="5">
        <v>1</v>
      </c>
      <c r="E3" s="5">
        <v>81754</v>
      </c>
      <c r="F3" s="5" t="str">
        <f ca="1">_xlfn.CONCAT($K$7, " - ", TEXT(TODAY(),"AA/MM/DD"), " - ",$K$4)</f>
        <v>Weekly - 20/08/20 - YSX Unity</v>
      </c>
      <c r="G3" s="5">
        <v>10</v>
      </c>
      <c r="H3" s="21">
        <f>IF(E3=""," - ",(IFERROR(VLOOKUP(E3,Prices!A:B,2,0),1)))</f>
        <v>37</v>
      </c>
      <c r="I3" s="3"/>
      <c r="J3" s="13" t="s">
        <v>48</v>
      </c>
      <c r="K3" s="5">
        <f>IFERROR(COUNT(E3:E502),"")</f>
        <v>158</v>
      </c>
      <c r="L3" s="3"/>
      <c r="M3" s="3"/>
      <c r="N3" s="3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</row>
    <row r="4" spans="1:30" x14ac:dyDescent="0.25">
      <c r="A4" s="3"/>
      <c r="B4" s="4"/>
      <c r="C4" s="18" t="str">
        <f t="shared" ref="C4:C67" si="0">IFERROR(IF(MATCH($B$3,D:D)-2=D4,"à",""),"")</f>
        <v/>
      </c>
      <c r="D4" s="5">
        <v>2</v>
      </c>
      <c r="E4" s="5">
        <v>43301</v>
      </c>
      <c r="F4" s="5" t="str">
        <f t="shared" ref="F4:F67" ca="1" si="1">_xlfn.CONCAT($K$7, " - ", TEXT(TODAY(),"AA/MM/DD"), " - ",$K$4)</f>
        <v>Weekly - 20/08/20 - YSX Unity</v>
      </c>
      <c r="G4" s="5">
        <v>5</v>
      </c>
      <c r="H4" s="21">
        <f>IF(E4=""," - ",(IFERROR(VLOOKUP(E4,Prices!A:B,2,0),1)))</f>
        <v>56</v>
      </c>
      <c r="I4" s="3"/>
      <c r="J4" s="13" t="s">
        <v>49</v>
      </c>
      <c r="K4" s="5" t="str">
        <f>IFERROR(VLOOKUP(B5,'Data Validation'!I:N,6,0),"")</f>
        <v>YSX Unity</v>
      </c>
      <c r="L4" s="3"/>
      <c r="M4" s="3"/>
      <c r="N4" s="3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</row>
    <row r="5" spans="1:30" x14ac:dyDescent="0.25">
      <c r="A5" s="8" t="s">
        <v>20</v>
      </c>
      <c r="B5" s="5" t="s">
        <v>34</v>
      </c>
      <c r="C5" s="18" t="str">
        <f t="shared" si="0"/>
        <v/>
      </c>
      <c r="D5" s="5">
        <v>3</v>
      </c>
      <c r="E5" s="5">
        <v>994</v>
      </c>
      <c r="F5" s="5" t="str">
        <f t="shared" ca="1" si="1"/>
        <v>Weekly - 20/08/20 - YSX Unity</v>
      </c>
      <c r="G5" s="5">
        <v>5</v>
      </c>
      <c r="H5" s="21">
        <f>IF(E5=""," - ",(IFERROR(VLOOKUP(E5,Prices!A:B,2,0),1)))</f>
        <v>104</v>
      </c>
      <c r="I5" s="3"/>
      <c r="J5" s="13" t="s">
        <v>50</v>
      </c>
      <c r="K5" s="5">
        <f>IFERROR(VLOOKUP(B5,'Data Validation'!I:M,5,0),"")</f>
        <v>1234</v>
      </c>
      <c r="L5" s="3"/>
      <c r="M5" s="3"/>
      <c r="N5" s="3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</row>
    <row r="6" spans="1:30" x14ac:dyDescent="0.25">
      <c r="A6" s="8" t="s">
        <v>7</v>
      </c>
      <c r="B6" s="5">
        <v>1</v>
      </c>
      <c r="C6" s="18" t="str">
        <f t="shared" si="0"/>
        <v/>
      </c>
      <c r="D6" s="5">
        <v>4</v>
      </c>
      <c r="E6" s="5">
        <v>26782</v>
      </c>
      <c r="F6" s="5" t="str">
        <f t="shared" ca="1" si="1"/>
        <v>Weekly - 20/08/20 - YSX Unity</v>
      </c>
      <c r="G6" s="5">
        <v>100</v>
      </c>
      <c r="H6" s="21">
        <f>IF(E6=""," - ",(IFERROR(VLOOKUP(E6,Prices!A:B,2,0),1)))</f>
        <v>163</v>
      </c>
      <c r="I6" s="3"/>
      <c r="J6" s="13" t="s">
        <v>7</v>
      </c>
      <c r="K6" s="5" t="str">
        <f>IFERROR(VLOOKUP(B6,'Data Validation'!Q:R,2,0), "Inserir código do tipo")</f>
        <v>Scheduled</v>
      </c>
      <c r="L6" s="3"/>
      <c r="M6" s="3"/>
      <c r="N6" s="3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spans="1:30" x14ac:dyDescent="0.25">
      <c r="A7" s="8" t="s">
        <v>8</v>
      </c>
      <c r="B7" s="5">
        <v>3</v>
      </c>
      <c r="C7" s="18" t="str">
        <f t="shared" si="0"/>
        <v/>
      </c>
      <c r="D7" s="5">
        <v>5</v>
      </c>
      <c r="E7" s="5">
        <v>76798</v>
      </c>
      <c r="F7" s="5" t="str">
        <f t="shared" ca="1" si="1"/>
        <v>Weekly - 20/08/20 - YSX Unity</v>
      </c>
      <c r="G7" s="5">
        <v>1250</v>
      </c>
      <c r="H7" s="21">
        <f>IF(E7=""," - ",(IFERROR(VLOOKUP(E7,Prices!A:B,2,0),1)))</f>
        <v>123</v>
      </c>
      <c r="I7" s="3"/>
      <c r="J7" s="13" t="s">
        <v>8</v>
      </c>
      <c r="K7" s="5" t="str">
        <f>IFERROR(VLOOKUP(VALUE(B7),'Data Validation'!V:W,2,0), "Insert valid code")</f>
        <v>Weekly</v>
      </c>
      <c r="L7" s="3"/>
      <c r="M7" s="3"/>
      <c r="N7" s="3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</row>
    <row r="8" spans="1:30" x14ac:dyDescent="0.25">
      <c r="A8" s="8" t="s">
        <v>9</v>
      </c>
      <c r="B8" s="22" t="s">
        <v>3</v>
      </c>
      <c r="C8" s="18" t="str">
        <f t="shared" si="0"/>
        <v/>
      </c>
      <c r="D8" s="5">
        <v>6</v>
      </c>
      <c r="E8" s="5">
        <v>77814</v>
      </c>
      <c r="F8" s="5" t="str">
        <f t="shared" ca="1" si="1"/>
        <v>Weekly - 20/08/20 - YSX Unity</v>
      </c>
      <c r="G8" s="5">
        <v>16</v>
      </c>
      <c r="H8" s="21">
        <f>IF(E8=""," - ",(IFERROR(VLOOKUP(E8,Prices!A:B,2,0),1)))</f>
        <v>192</v>
      </c>
      <c r="I8" s="3"/>
      <c r="J8" s="13" t="s">
        <v>35</v>
      </c>
      <c r="K8" s="5" t="str">
        <f>IFERROR(VLOOKUP(B5,'Data Validation'!I:L,4,0),"")</f>
        <v>ABC 1</v>
      </c>
      <c r="L8" s="3"/>
      <c r="M8" s="3"/>
      <c r="N8" s="3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</row>
    <row r="9" spans="1:30" x14ac:dyDescent="0.25">
      <c r="A9" s="3"/>
      <c r="B9" s="3"/>
      <c r="C9" s="18" t="str">
        <f t="shared" si="0"/>
        <v/>
      </c>
      <c r="D9" s="5">
        <v>7</v>
      </c>
      <c r="E9" s="5">
        <v>97163</v>
      </c>
      <c r="F9" s="5" t="str">
        <f t="shared" ca="1" si="1"/>
        <v>Weekly - 20/08/20 - YSX Unity</v>
      </c>
      <c r="G9" s="5">
        <v>8</v>
      </c>
      <c r="H9" s="21">
        <f>IF(E9=""," - ",(IFERROR(VLOOKUP(E9,Prices!A:B,2,0),1)))</f>
        <v>27</v>
      </c>
      <c r="I9" s="3"/>
      <c r="J9" s="3"/>
      <c r="K9" s="4"/>
      <c r="L9" s="3"/>
      <c r="M9" s="3"/>
      <c r="N9" s="3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</row>
    <row r="10" spans="1:30" x14ac:dyDescent="0.25">
      <c r="A10" s="19" t="s">
        <v>10</v>
      </c>
      <c r="B10" s="20"/>
      <c r="C10" s="18" t="str">
        <f t="shared" si="0"/>
        <v/>
      </c>
      <c r="D10" s="5">
        <v>8</v>
      </c>
      <c r="E10" s="5">
        <v>45042</v>
      </c>
      <c r="F10" s="5" t="str">
        <f t="shared" ca="1" si="1"/>
        <v>Weekly - 20/08/20 - YSX Unity</v>
      </c>
      <c r="G10" s="5">
        <v>144</v>
      </c>
      <c r="H10" s="21">
        <f>IF(E10=""," - ",(IFERROR(VLOOKUP(E10,Prices!A:B,2,0),1)))</f>
        <v>196</v>
      </c>
      <c r="I10" s="3"/>
      <c r="J10" s="3"/>
      <c r="K10" s="4"/>
      <c r="L10" s="3"/>
      <c r="M10" s="3"/>
      <c r="N10" s="3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</row>
    <row r="11" spans="1:30" x14ac:dyDescent="0.25">
      <c r="A11" s="8" t="s">
        <v>11</v>
      </c>
      <c r="B11" s="5" t="s">
        <v>25</v>
      </c>
      <c r="C11" s="18" t="str">
        <f t="shared" si="0"/>
        <v/>
      </c>
      <c r="D11" s="5">
        <v>9</v>
      </c>
      <c r="E11" s="5">
        <v>94359</v>
      </c>
      <c r="F11" s="5" t="str">
        <f t="shared" ca="1" si="1"/>
        <v>Weekly - 20/08/20 - YSX Unity</v>
      </c>
      <c r="G11" s="5">
        <v>288</v>
      </c>
      <c r="H11" s="21">
        <f>IF(E11=""," - ",(IFERROR(VLOOKUP(E11,Prices!A:B,2,0),1)))</f>
        <v>142</v>
      </c>
      <c r="I11" s="3"/>
      <c r="J11" s="3"/>
      <c r="K11" s="4"/>
      <c r="L11" s="3"/>
      <c r="M11" s="3"/>
      <c r="N11" s="3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</row>
    <row r="12" spans="1:30" x14ac:dyDescent="0.25">
      <c r="A12" s="3"/>
      <c r="B12" s="15"/>
      <c r="C12" s="18" t="str">
        <f t="shared" si="0"/>
        <v/>
      </c>
      <c r="D12" s="5">
        <v>10</v>
      </c>
      <c r="E12" s="5">
        <v>13713</v>
      </c>
      <c r="F12" s="5" t="str">
        <f t="shared" ca="1" si="1"/>
        <v>Weekly - 20/08/20 - YSX Unity</v>
      </c>
      <c r="G12" s="5">
        <v>412</v>
      </c>
      <c r="H12" s="21">
        <f>IF(E12=""," - ",(IFERROR(VLOOKUP(E12,Prices!A:B,2,0),1)))</f>
        <v>36</v>
      </c>
      <c r="I12" s="3"/>
      <c r="J12" s="3"/>
      <c r="K12" s="4"/>
      <c r="L12" s="3"/>
      <c r="M12" s="3"/>
      <c r="N12" s="3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</row>
    <row r="13" spans="1:30" x14ac:dyDescent="0.25">
      <c r="A13" s="3"/>
      <c r="B13" s="3"/>
      <c r="C13" s="18" t="str">
        <f t="shared" si="0"/>
        <v/>
      </c>
      <c r="D13" s="5">
        <v>11</v>
      </c>
      <c r="E13" s="5">
        <v>86392</v>
      </c>
      <c r="F13" s="5" t="str">
        <f t="shared" ca="1" si="1"/>
        <v>Weekly - 20/08/20 - YSX Unity</v>
      </c>
      <c r="G13" s="5">
        <v>810</v>
      </c>
      <c r="H13" s="21">
        <f>IF(E13=""," - ",(IFERROR(VLOOKUP(E13,Prices!A:B,2,0),1)))</f>
        <v>55</v>
      </c>
      <c r="I13" s="3"/>
      <c r="J13" s="3"/>
      <c r="K13" s="4"/>
      <c r="L13" s="3"/>
      <c r="M13" s="3"/>
      <c r="N13" s="3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</row>
    <row r="14" spans="1:30" x14ac:dyDescent="0.25">
      <c r="A14" s="3"/>
      <c r="B14" s="3"/>
      <c r="C14" s="18" t="str">
        <f t="shared" si="0"/>
        <v/>
      </c>
      <c r="D14" s="5">
        <v>12</v>
      </c>
      <c r="E14" s="5">
        <v>61357</v>
      </c>
      <c r="F14" s="5" t="str">
        <f t="shared" ca="1" si="1"/>
        <v>Weekly - 20/08/20 - YSX Unity</v>
      </c>
      <c r="G14" s="5">
        <v>588</v>
      </c>
      <c r="H14" s="21">
        <f>IF(E14=""," - ",(IFERROR(VLOOKUP(E14,Prices!A:B,2,0),1)))</f>
        <v>170</v>
      </c>
      <c r="I14" s="3"/>
      <c r="J14" s="3"/>
      <c r="K14" s="4"/>
      <c r="L14" s="3"/>
      <c r="M14" s="3"/>
      <c r="N14" s="3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</row>
    <row r="15" spans="1:30" x14ac:dyDescent="0.25">
      <c r="A15" s="3"/>
      <c r="B15" s="3"/>
      <c r="C15" s="18" t="str">
        <f t="shared" si="0"/>
        <v/>
      </c>
      <c r="D15" s="5">
        <v>13</v>
      </c>
      <c r="E15" s="5">
        <v>12305</v>
      </c>
      <c r="F15" s="5" t="str">
        <f t="shared" ca="1" si="1"/>
        <v>Weekly - 20/08/20 - YSX Unity</v>
      </c>
      <c r="G15" s="5">
        <v>336</v>
      </c>
      <c r="H15" s="21">
        <f>IF(E15=""," - ",(IFERROR(VLOOKUP(E15,Prices!A:B,2,0),1)))</f>
        <v>16</v>
      </c>
      <c r="I15" s="3"/>
      <c r="J15" s="3"/>
      <c r="K15" s="4"/>
      <c r="L15" s="3"/>
      <c r="M15" s="3"/>
      <c r="N15" s="3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</row>
    <row r="16" spans="1:30" x14ac:dyDescent="0.25">
      <c r="A16" s="14"/>
      <c r="B16" s="3"/>
      <c r="C16" s="18" t="str">
        <f t="shared" si="0"/>
        <v/>
      </c>
      <c r="D16" s="5">
        <v>14</v>
      </c>
      <c r="E16" s="5">
        <v>28058</v>
      </c>
      <c r="F16" s="5" t="str">
        <f t="shared" ca="1" si="1"/>
        <v>Weekly - 20/08/20 - YSX Unity</v>
      </c>
      <c r="G16" s="5">
        <v>175</v>
      </c>
      <c r="H16" s="21">
        <f>IF(E16=""," - ",(IFERROR(VLOOKUP(E16,Prices!A:B,2,0),1)))</f>
        <v>12</v>
      </c>
      <c r="I16" s="3"/>
      <c r="J16" s="3"/>
      <c r="K16" s="4"/>
      <c r="L16" s="3"/>
      <c r="M16" s="3"/>
      <c r="N16" s="3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</row>
    <row r="17" spans="1:30" x14ac:dyDescent="0.25">
      <c r="A17" s="3"/>
      <c r="B17" s="3"/>
      <c r="C17" s="18" t="str">
        <f t="shared" si="0"/>
        <v/>
      </c>
      <c r="D17" s="5">
        <v>15</v>
      </c>
      <c r="E17" s="5">
        <v>75211</v>
      </c>
      <c r="F17" s="5" t="str">
        <f t="shared" ca="1" si="1"/>
        <v>Weekly - 20/08/20 - YSX Unity</v>
      </c>
      <c r="G17" s="5">
        <v>449</v>
      </c>
      <c r="H17" s="21">
        <f>IF(E17=""," - ",(IFERROR(VLOOKUP(E17,Prices!A:B,2,0),1)))</f>
        <v>120</v>
      </c>
      <c r="I17" s="3"/>
      <c r="J17" s="3"/>
      <c r="K17" s="4"/>
      <c r="L17" s="3"/>
      <c r="M17" s="3"/>
      <c r="N17" s="3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</row>
    <row r="18" spans="1:30" x14ac:dyDescent="0.25">
      <c r="A18" s="3"/>
      <c r="B18" s="3"/>
      <c r="C18" s="18" t="str">
        <f t="shared" si="0"/>
        <v/>
      </c>
      <c r="D18" s="5">
        <v>16</v>
      </c>
      <c r="E18" s="5">
        <v>91637</v>
      </c>
      <c r="F18" s="5" t="str">
        <f t="shared" ca="1" si="1"/>
        <v>Weekly - 20/08/20 - YSX Unity</v>
      </c>
      <c r="G18" s="5">
        <v>809</v>
      </c>
      <c r="H18" s="21">
        <f>IF(E18=""," - ",(IFERROR(VLOOKUP(E18,Prices!A:B,2,0),1)))</f>
        <v>79</v>
      </c>
      <c r="I18" s="3"/>
      <c r="J18" s="3"/>
      <c r="K18" s="4"/>
      <c r="L18" s="3"/>
      <c r="M18" s="3"/>
      <c r="N18" s="3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</row>
    <row r="19" spans="1:30" x14ac:dyDescent="0.25">
      <c r="A19" s="3"/>
      <c r="B19" s="3"/>
      <c r="C19" s="18" t="str">
        <f t="shared" si="0"/>
        <v/>
      </c>
      <c r="D19" s="5">
        <v>17</v>
      </c>
      <c r="E19" s="5">
        <v>50228</v>
      </c>
      <c r="F19" s="5" t="str">
        <f t="shared" ca="1" si="1"/>
        <v>Weekly - 20/08/20 - YSX Unity</v>
      </c>
      <c r="G19" s="5">
        <v>184</v>
      </c>
      <c r="H19" s="21">
        <f>IF(E19=""," - ",(IFERROR(VLOOKUP(E19,Prices!A:B,2,0),1)))</f>
        <v>55</v>
      </c>
      <c r="I19" s="3"/>
      <c r="J19" s="3"/>
      <c r="K19" s="4"/>
      <c r="L19" s="3"/>
      <c r="M19" s="3"/>
      <c r="N19" s="3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</row>
    <row r="20" spans="1:30" x14ac:dyDescent="0.25">
      <c r="A20" s="3"/>
      <c r="B20" s="3"/>
      <c r="C20" s="18" t="str">
        <f t="shared" si="0"/>
        <v/>
      </c>
      <c r="D20" s="5">
        <v>18</v>
      </c>
      <c r="E20" s="5">
        <v>11174</v>
      </c>
      <c r="F20" s="5" t="str">
        <f t="shared" ca="1" si="1"/>
        <v>Weekly - 20/08/20 - YSX Unity</v>
      </c>
      <c r="G20" s="5">
        <v>910</v>
      </c>
      <c r="H20" s="21">
        <f>IF(E20=""," - ",(IFERROR(VLOOKUP(E20,Prices!A:B,2,0),1)))</f>
        <v>184</v>
      </c>
      <c r="I20" s="3"/>
      <c r="J20" s="3"/>
      <c r="K20" s="4"/>
      <c r="L20" s="3"/>
      <c r="M20" s="3"/>
      <c r="N20" s="3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</row>
    <row r="21" spans="1:30" x14ac:dyDescent="0.25">
      <c r="A21" s="3"/>
      <c r="B21" s="3"/>
      <c r="C21" s="18" t="str">
        <f t="shared" si="0"/>
        <v/>
      </c>
      <c r="D21" s="5">
        <v>19</v>
      </c>
      <c r="E21" s="5">
        <v>45942</v>
      </c>
      <c r="F21" s="5" t="str">
        <f t="shared" ca="1" si="1"/>
        <v>Weekly - 20/08/20 - YSX Unity</v>
      </c>
      <c r="G21" s="5">
        <v>908</v>
      </c>
      <c r="H21" s="21">
        <f>IF(E21=""," - ",(IFERROR(VLOOKUP(E21,Prices!A:B,2,0),1)))</f>
        <v>66</v>
      </c>
      <c r="I21" s="3"/>
      <c r="J21" s="3"/>
      <c r="K21" s="4"/>
      <c r="L21" s="3"/>
      <c r="M21" s="3"/>
      <c r="N21" s="3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</row>
    <row r="22" spans="1:30" x14ac:dyDescent="0.25">
      <c r="A22" s="3"/>
      <c r="B22" s="3"/>
      <c r="C22" s="18" t="str">
        <f t="shared" si="0"/>
        <v/>
      </c>
      <c r="D22" s="5">
        <v>20</v>
      </c>
      <c r="E22" s="5">
        <v>48844</v>
      </c>
      <c r="F22" s="5" t="str">
        <f t="shared" ca="1" si="1"/>
        <v>Weekly - 20/08/20 - YSX Unity</v>
      </c>
      <c r="G22" s="5">
        <v>804</v>
      </c>
      <c r="H22" s="21">
        <f>IF(E22=""," - ",(IFERROR(VLOOKUP(E22,Prices!A:B,2,0),1)))</f>
        <v>119</v>
      </c>
      <c r="I22" s="3"/>
      <c r="J22" s="3"/>
      <c r="K22" s="4"/>
      <c r="L22" s="3"/>
      <c r="M22" s="3"/>
      <c r="N22" s="3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</row>
    <row r="23" spans="1:30" x14ac:dyDescent="0.25">
      <c r="A23" s="3"/>
      <c r="B23" s="3"/>
      <c r="C23" s="18" t="str">
        <f t="shared" si="0"/>
        <v/>
      </c>
      <c r="D23" s="5">
        <v>21</v>
      </c>
      <c r="E23" s="5">
        <v>50712</v>
      </c>
      <c r="F23" s="5" t="str">
        <f t="shared" ca="1" si="1"/>
        <v>Weekly - 20/08/20 - YSX Unity</v>
      </c>
      <c r="G23" s="5">
        <v>341</v>
      </c>
      <c r="H23" s="21">
        <f>IF(E23=""," - ",(IFERROR(VLOOKUP(E23,Prices!A:B,2,0),1)))</f>
        <v>140</v>
      </c>
      <c r="I23" s="3"/>
      <c r="J23" s="3"/>
      <c r="K23" s="4"/>
      <c r="L23" s="3"/>
      <c r="M23" s="3"/>
      <c r="N23" s="3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</row>
    <row r="24" spans="1:30" x14ac:dyDescent="0.25">
      <c r="A24" s="3"/>
      <c r="B24" s="3"/>
      <c r="C24" s="18" t="str">
        <f t="shared" si="0"/>
        <v/>
      </c>
      <c r="D24" s="5">
        <v>22</v>
      </c>
      <c r="E24" s="5">
        <v>37967</v>
      </c>
      <c r="F24" s="5" t="str">
        <f t="shared" ca="1" si="1"/>
        <v>Weekly - 20/08/20 - YSX Unity</v>
      </c>
      <c r="G24" s="5">
        <v>843</v>
      </c>
      <c r="H24" s="21">
        <f>IF(E24=""," - ",(IFERROR(VLOOKUP(E24,Prices!A:B,2,0),1)))</f>
        <v>165</v>
      </c>
      <c r="I24" s="3"/>
      <c r="J24" s="3"/>
      <c r="K24" s="4"/>
      <c r="L24" s="3"/>
      <c r="M24" s="3"/>
      <c r="N24" s="3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</row>
    <row r="25" spans="1:30" x14ac:dyDescent="0.25">
      <c r="A25" s="3"/>
      <c r="B25" s="3"/>
      <c r="C25" s="18" t="str">
        <f t="shared" si="0"/>
        <v/>
      </c>
      <c r="D25" s="5">
        <v>23</v>
      </c>
      <c r="E25" s="5">
        <v>39647</v>
      </c>
      <c r="F25" s="5" t="str">
        <f t="shared" ca="1" si="1"/>
        <v>Weekly - 20/08/20 - YSX Unity</v>
      </c>
      <c r="G25" s="5">
        <v>188</v>
      </c>
      <c r="H25" s="21">
        <f>IF(E25=""," - ",(IFERROR(VLOOKUP(E25,Prices!A:B,2,0),1)))</f>
        <v>106</v>
      </c>
      <c r="I25" s="3"/>
      <c r="J25" s="3"/>
      <c r="K25" s="4"/>
      <c r="L25" s="3"/>
      <c r="M25" s="3"/>
      <c r="N25" s="3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</row>
    <row r="26" spans="1:30" x14ac:dyDescent="0.25">
      <c r="A26" s="3"/>
      <c r="B26" s="3"/>
      <c r="C26" s="18" t="str">
        <f t="shared" si="0"/>
        <v/>
      </c>
      <c r="D26" s="5">
        <v>24</v>
      </c>
      <c r="E26" s="5">
        <v>65046</v>
      </c>
      <c r="F26" s="5" t="str">
        <f t="shared" ca="1" si="1"/>
        <v>Weekly - 20/08/20 - YSX Unity</v>
      </c>
      <c r="G26" s="5">
        <v>29</v>
      </c>
      <c r="H26" s="21">
        <f>IF(E26=""," - ",(IFERROR(VLOOKUP(E26,Prices!A:B,2,0),1)))</f>
        <v>3</v>
      </c>
      <c r="I26" s="3"/>
      <c r="J26" s="3"/>
      <c r="K26" s="4"/>
      <c r="L26" s="3"/>
      <c r="M26" s="3"/>
      <c r="N26" s="3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</row>
    <row r="27" spans="1:30" x14ac:dyDescent="0.25">
      <c r="A27" s="3"/>
      <c r="B27" s="3"/>
      <c r="C27" s="18" t="str">
        <f t="shared" si="0"/>
        <v/>
      </c>
      <c r="D27" s="5">
        <v>25</v>
      </c>
      <c r="E27" s="5">
        <v>74996</v>
      </c>
      <c r="F27" s="5" t="str">
        <f t="shared" ca="1" si="1"/>
        <v>Weekly - 20/08/20 - YSX Unity</v>
      </c>
      <c r="G27" s="5">
        <v>877</v>
      </c>
      <c r="H27" s="21">
        <f>IF(E27=""," - ",(IFERROR(VLOOKUP(E27,Prices!A:B,2,0),1)))</f>
        <v>95</v>
      </c>
      <c r="I27" s="3"/>
      <c r="J27" s="3"/>
      <c r="K27" s="4"/>
      <c r="L27" s="3"/>
      <c r="M27" s="3"/>
      <c r="N27" s="3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</row>
    <row r="28" spans="1:30" x14ac:dyDescent="0.25">
      <c r="A28" s="3"/>
      <c r="B28" s="3"/>
      <c r="C28" s="18" t="str">
        <f t="shared" si="0"/>
        <v/>
      </c>
      <c r="D28" s="5">
        <v>26</v>
      </c>
      <c r="E28" s="5">
        <v>8673</v>
      </c>
      <c r="F28" s="5" t="str">
        <f t="shared" ca="1" si="1"/>
        <v>Weekly - 20/08/20 - YSX Unity</v>
      </c>
      <c r="G28" s="5">
        <v>725</v>
      </c>
      <c r="H28" s="21">
        <f>IF(E28=""," - ",(IFERROR(VLOOKUP(E28,Prices!A:B,2,0),1)))</f>
        <v>23</v>
      </c>
      <c r="I28" s="3"/>
      <c r="J28" s="3"/>
      <c r="K28" s="4"/>
      <c r="L28" s="3"/>
      <c r="M28" s="3"/>
      <c r="N28" s="3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</row>
    <row r="29" spans="1:30" x14ac:dyDescent="0.25">
      <c r="A29" s="3"/>
      <c r="B29" s="3"/>
      <c r="C29" s="18" t="str">
        <f t="shared" si="0"/>
        <v/>
      </c>
      <c r="D29" s="5">
        <v>27</v>
      </c>
      <c r="E29" s="5">
        <v>39674</v>
      </c>
      <c r="F29" s="5" t="str">
        <f t="shared" ca="1" si="1"/>
        <v>Weekly - 20/08/20 - YSX Unity</v>
      </c>
      <c r="G29" s="5">
        <v>432</v>
      </c>
      <c r="H29" s="21">
        <f>IF(E29=""," - ",(IFERROR(VLOOKUP(E29,Prices!A:B,2,0),1)))</f>
        <v>191</v>
      </c>
      <c r="I29" s="3"/>
      <c r="J29" s="3"/>
      <c r="K29" s="4"/>
      <c r="L29" s="3"/>
      <c r="M29" s="3"/>
      <c r="N29" s="3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spans="1:30" x14ac:dyDescent="0.25">
      <c r="A30" s="3"/>
      <c r="B30" s="3"/>
      <c r="C30" s="18" t="str">
        <f t="shared" si="0"/>
        <v/>
      </c>
      <c r="D30" s="5">
        <v>28</v>
      </c>
      <c r="E30" s="5">
        <v>23900</v>
      </c>
      <c r="F30" s="5" t="str">
        <f t="shared" ca="1" si="1"/>
        <v>Weekly - 20/08/20 - YSX Unity</v>
      </c>
      <c r="G30" s="5">
        <v>862</v>
      </c>
      <c r="H30" s="21">
        <f>IF(E30=""," - ",(IFERROR(VLOOKUP(E30,Prices!A:B,2,0),1)))</f>
        <v>65</v>
      </c>
      <c r="I30" s="3"/>
      <c r="J30" s="3"/>
      <c r="K30" s="4"/>
      <c r="L30" s="3"/>
      <c r="M30" s="3"/>
      <c r="N30" s="3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</row>
    <row r="31" spans="1:30" x14ac:dyDescent="0.25">
      <c r="A31" s="3"/>
      <c r="B31" s="3"/>
      <c r="C31" s="18" t="str">
        <f t="shared" si="0"/>
        <v/>
      </c>
      <c r="D31" s="5">
        <v>29</v>
      </c>
      <c r="E31" s="5">
        <v>72432</v>
      </c>
      <c r="F31" s="5" t="str">
        <f t="shared" ca="1" si="1"/>
        <v>Weekly - 20/08/20 - YSX Unity</v>
      </c>
      <c r="G31" s="5">
        <v>118</v>
      </c>
      <c r="H31" s="21">
        <f>IF(E31=""," - ",(IFERROR(VLOOKUP(E31,Prices!A:B,2,0),1)))</f>
        <v>111</v>
      </c>
      <c r="I31" s="3"/>
      <c r="J31" s="3"/>
      <c r="K31" s="4"/>
      <c r="L31" s="3"/>
      <c r="M31" s="3"/>
      <c r="N31" s="3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spans="1:30" x14ac:dyDescent="0.25">
      <c r="A32" s="3"/>
      <c r="B32" s="3"/>
      <c r="C32" s="18" t="str">
        <f t="shared" si="0"/>
        <v/>
      </c>
      <c r="D32" s="5">
        <v>30</v>
      </c>
      <c r="E32" s="5">
        <v>26974</v>
      </c>
      <c r="F32" s="5" t="str">
        <f t="shared" ca="1" si="1"/>
        <v>Weekly - 20/08/20 - YSX Unity</v>
      </c>
      <c r="G32" s="5">
        <v>371</v>
      </c>
      <c r="H32" s="21">
        <f>IF(E32=""," - ",(IFERROR(VLOOKUP(E32,Prices!A:B,2,0),1)))</f>
        <v>84</v>
      </c>
      <c r="I32" s="3"/>
      <c r="J32" s="3"/>
      <c r="K32" s="4"/>
      <c r="L32" s="3"/>
      <c r="M32" s="3"/>
      <c r="N32" s="3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</row>
    <row r="33" spans="1:30" x14ac:dyDescent="0.25">
      <c r="A33" s="3"/>
      <c r="B33" s="3"/>
      <c r="C33" s="18" t="str">
        <f t="shared" si="0"/>
        <v/>
      </c>
      <c r="D33" s="5">
        <v>31</v>
      </c>
      <c r="E33" s="5">
        <v>23417</v>
      </c>
      <c r="F33" s="5" t="str">
        <f t="shared" ca="1" si="1"/>
        <v>Weekly - 20/08/20 - YSX Unity</v>
      </c>
      <c r="G33" s="5">
        <v>956</v>
      </c>
      <c r="H33" s="21">
        <f>IF(E33=""," - ",(IFERROR(VLOOKUP(E33,Prices!A:B,2,0),1)))</f>
        <v>4</v>
      </c>
      <c r="I33" s="3"/>
      <c r="J33" s="3"/>
      <c r="K33" s="4"/>
      <c r="L33" s="3"/>
      <c r="M33" s="3"/>
      <c r="N33" s="3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spans="1:30" x14ac:dyDescent="0.25">
      <c r="A34" s="3"/>
      <c r="B34" s="3"/>
      <c r="C34" s="18" t="str">
        <f t="shared" si="0"/>
        <v/>
      </c>
      <c r="D34" s="5">
        <v>32</v>
      </c>
      <c r="E34" s="5">
        <v>56341</v>
      </c>
      <c r="F34" s="5" t="str">
        <f t="shared" ca="1" si="1"/>
        <v>Weekly - 20/08/20 - YSX Unity</v>
      </c>
      <c r="G34" s="5">
        <v>805</v>
      </c>
      <c r="H34" s="21">
        <f>IF(E34=""," - ",(IFERROR(VLOOKUP(E34,Prices!A:B,2,0),1)))</f>
        <v>125</v>
      </c>
      <c r="I34" s="3"/>
      <c r="J34" s="3"/>
      <c r="K34" s="4"/>
      <c r="L34" s="3"/>
      <c r="M34" s="3"/>
      <c r="N34" s="3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</row>
    <row r="35" spans="1:30" x14ac:dyDescent="0.25">
      <c r="A35" s="3"/>
      <c r="B35" s="3"/>
      <c r="C35" s="18" t="str">
        <f t="shared" si="0"/>
        <v/>
      </c>
      <c r="D35" s="5">
        <v>33</v>
      </c>
      <c r="E35" s="5">
        <v>53495</v>
      </c>
      <c r="F35" s="5" t="str">
        <f t="shared" ca="1" si="1"/>
        <v>Weekly - 20/08/20 - YSX Unity</v>
      </c>
      <c r="G35" s="5">
        <v>697</v>
      </c>
      <c r="H35" s="21">
        <f>IF(E35=""," - ",(IFERROR(VLOOKUP(E35,Prices!A:B,2,0),1)))</f>
        <v>26</v>
      </c>
      <c r="I35" s="3"/>
      <c r="J35" s="3"/>
      <c r="K35" s="4"/>
      <c r="L35" s="3"/>
      <c r="M35" s="3"/>
      <c r="N35" s="3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</row>
    <row r="36" spans="1:30" x14ac:dyDescent="0.25">
      <c r="A36" s="3"/>
      <c r="B36" s="3"/>
      <c r="C36" s="18" t="str">
        <f t="shared" si="0"/>
        <v/>
      </c>
      <c r="D36" s="5">
        <v>34</v>
      </c>
      <c r="E36" s="5">
        <v>13932</v>
      </c>
      <c r="F36" s="5" t="str">
        <f t="shared" ca="1" si="1"/>
        <v>Weekly - 20/08/20 - YSX Unity</v>
      </c>
      <c r="G36" s="5">
        <v>405</v>
      </c>
      <c r="H36" s="21">
        <f>IF(E36=""," - ",(IFERROR(VLOOKUP(E36,Prices!A:B,2,0),1)))</f>
        <v>77</v>
      </c>
      <c r="I36" s="3"/>
      <c r="J36" s="3"/>
      <c r="K36" s="4"/>
      <c r="L36" s="3"/>
      <c r="M36" s="3"/>
      <c r="N36" s="3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</row>
    <row r="37" spans="1:30" x14ac:dyDescent="0.25">
      <c r="A37" s="3"/>
      <c r="B37" s="3"/>
      <c r="C37" s="18" t="str">
        <f t="shared" si="0"/>
        <v/>
      </c>
      <c r="D37" s="5">
        <v>35</v>
      </c>
      <c r="E37" s="5">
        <v>86111</v>
      </c>
      <c r="F37" s="5" t="str">
        <f t="shared" ca="1" si="1"/>
        <v>Weekly - 20/08/20 - YSX Unity</v>
      </c>
      <c r="G37" s="5">
        <v>143</v>
      </c>
      <c r="H37" s="21">
        <f>IF(E37=""," - ",(IFERROR(VLOOKUP(E37,Prices!A:B,2,0),1)))</f>
        <v>188</v>
      </c>
      <c r="I37" s="3"/>
      <c r="J37" s="3"/>
      <c r="K37" s="4"/>
      <c r="L37" s="3"/>
      <c r="M37" s="3"/>
      <c r="N37" s="3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</row>
    <row r="38" spans="1:30" x14ac:dyDescent="0.25">
      <c r="A38" s="3"/>
      <c r="B38" s="3"/>
      <c r="C38" s="18" t="str">
        <f t="shared" si="0"/>
        <v/>
      </c>
      <c r="D38" s="5">
        <v>36</v>
      </c>
      <c r="E38" s="5">
        <v>90432</v>
      </c>
      <c r="F38" s="5" t="str">
        <f t="shared" ca="1" si="1"/>
        <v>Weekly - 20/08/20 - YSX Unity</v>
      </c>
      <c r="G38" s="5">
        <v>917</v>
      </c>
      <c r="H38" s="21">
        <f>IF(E38=""," - ",(IFERROR(VLOOKUP(E38,Prices!A:B,2,0),1)))</f>
        <v>45</v>
      </c>
      <c r="I38" s="3"/>
      <c r="J38" s="3"/>
      <c r="K38" s="4"/>
      <c r="L38" s="3"/>
      <c r="M38" s="3"/>
      <c r="N38" s="3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</row>
    <row r="39" spans="1:30" x14ac:dyDescent="0.25">
      <c r="A39" s="3"/>
      <c r="B39" s="3"/>
      <c r="C39" s="18" t="str">
        <f t="shared" si="0"/>
        <v/>
      </c>
      <c r="D39" s="5">
        <v>37</v>
      </c>
      <c r="E39" s="5">
        <v>66513</v>
      </c>
      <c r="F39" s="5" t="str">
        <f t="shared" ca="1" si="1"/>
        <v>Weekly - 20/08/20 - YSX Unity</v>
      </c>
      <c r="G39" s="5">
        <v>723</v>
      </c>
      <c r="H39" s="21">
        <f>IF(E39=""," - ",(IFERROR(VLOOKUP(E39,Prices!A:B,2,0),1)))</f>
        <v>144</v>
      </c>
      <c r="I39" s="3"/>
      <c r="J39" s="3"/>
      <c r="K39" s="4"/>
      <c r="L39" s="3"/>
      <c r="M39" s="3"/>
      <c r="N39" s="3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</row>
    <row r="40" spans="1:30" x14ac:dyDescent="0.25">
      <c r="A40" s="3"/>
      <c r="B40" s="3"/>
      <c r="C40" s="18" t="str">
        <f t="shared" si="0"/>
        <v/>
      </c>
      <c r="D40" s="5">
        <v>38</v>
      </c>
      <c r="E40" s="5">
        <v>86171</v>
      </c>
      <c r="F40" s="5" t="str">
        <f t="shared" ca="1" si="1"/>
        <v>Weekly - 20/08/20 - YSX Unity</v>
      </c>
      <c r="G40" s="5">
        <v>702</v>
      </c>
      <c r="H40" s="21">
        <f>IF(E40=""," - ",(IFERROR(VLOOKUP(E40,Prices!A:B,2,0),1)))</f>
        <v>162</v>
      </c>
      <c r="I40" s="3"/>
      <c r="J40" s="3"/>
      <c r="K40" s="4"/>
      <c r="L40" s="3"/>
      <c r="M40" s="3"/>
      <c r="N40" s="3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</row>
    <row r="41" spans="1:30" x14ac:dyDescent="0.25">
      <c r="A41" s="3"/>
      <c r="B41" s="3"/>
      <c r="C41" s="18" t="str">
        <f t="shared" si="0"/>
        <v/>
      </c>
      <c r="D41" s="5">
        <v>39</v>
      </c>
      <c r="E41" s="5">
        <v>38474</v>
      </c>
      <c r="F41" s="5" t="str">
        <f t="shared" ca="1" si="1"/>
        <v>Weekly - 20/08/20 - YSX Unity</v>
      </c>
      <c r="G41" s="5">
        <v>924</v>
      </c>
      <c r="H41" s="21">
        <f>IF(E41=""," - ",(IFERROR(VLOOKUP(E41,Prices!A:B,2,0),1)))</f>
        <v>21</v>
      </c>
      <c r="I41" s="3"/>
      <c r="J41" s="3"/>
      <c r="K41" s="4"/>
      <c r="L41" s="3"/>
      <c r="M41" s="3"/>
      <c r="N41" s="3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</row>
    <row r="42" spans="1:30" x14ac:dyDescent="0.25">
      <c r="A42" s="3"/>
      <c r="B42" s="3"/>
      <c r="C42" s="18" t="str">
        <f t="shared" si="0"/>
        <v/>
      </c>
      <c r="D42" s="5">
        <v>40</v>
      </c>
      <c r="E42" s="5">
        <v>37440</v>
      </c>
      <c r="F42" s="5" t="str">
        <f t="shared" ca="1" si="1"/>
        <v>Weekly - 20/08/20 - YSX Unity</v>
      </c>
      <c r="G42" s="5">
        <v>57</v>
      </c>
      <c r="H42" s="21">
        <f>IF(E42=""," - ",(IFERROR(VLOOKUP(E42,Prices!A:B,2,0),1)))</f>
        <v>178</v>
      </c>
      <c r="I42" s="3"/>
      <c r="J42" s="3"/>
      <c r="K42" s="4"/>
      <c r="L42" s="3"/>
      <c r="M42" s="3"/>
      <c r="N42" s="3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</row>
    <row r="43" spans="1:30" x14ac:dyDescent="0.25">
      <c r="A43" s="3"/>
      <c r="B43" s="3"/>
      <c r="C43" s="18" t="str">
        <f t="shared" si="0"/>
        <v/>
      </c>
      <c r="D43" s="5">
        <v>41</v>
      </c>
      <c r="E43" s="5">
        <v>47740</v>
      </c>
      <c r="F43" s="5" t="str">
        <f t="shared" ca="1" si="1"/>
        <v>Weekly - 20/08/20 - YSX Unity</v>
      </c>
      <c r="G43" s="5">
        <v>504</v>
      </c>
      <c r="H43" s="21">
        <f>IF(E43=""," - ",(IFERROR(VLOOKUP(E43,Prices!A:B,2,0),1)))</f>
        <v>20</v>
      </c>
      <c r="I43" s="3"/>
      <c r="J43" s="3"/>
      <c r="K43" s="4"/>
      <c r="L43" s="3"/>
      <c r="M43" s="3"/>
      <c r="N43" s="3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</row>
    <row r="44" spans="1:30" x14ac:dyDescent="0.25">
      <c r="A44" s="3"/>
      <c r="B44" s="3"/>
      <c r="C44" s="18" t="str">
        <f t="shared" si="0"/>
        <v/>
      </c>
      <c r="D44" s="5">
        <v>42</v>
      </c>
      <c r="E44" s="5">
        <v>75450</v>
      </c>
      <c r="F44" s="5" t="str">
        <f t="shared" ca="1" si="1"/>
        <v>Weekly - 20/08/20 - YSX Unity</v>
      </c>
      <c r="G44" s="5">
        <v>239</v>
      </c>
      <c r="H44" s="21">
        <f>IF(E44=""," - ",(IFERROR(VLOOKUP(E44,Prices!A:B,2,0),1)))</f>
        <v>192</v>
      </c>
      <c r="I44" s="3"/>
      <c r="J44" s="3"/>
      <c r="K44" s="4"/>
      <c r="L44" s="3"/>
      <c r="M44" s="3"/>
      <c r="N44" s="3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</row>
    <row r="45" spans="1:30" x14ac:dyDescent="0.25">
      <c r="A45" s="3"/>
      <c r="B45" s="3"/>
      <c r="C45" s="18" t="str">
        <f t="shared" si="0"/>
        <v/>
      </c>
      <c r="D45" s="5">
        <v>43</v>
      </c>
      <c r="E45" s="5">
        <v>5367</v>
      </c>
      <c r="F45" s="5" t="str">
        <f t="shared" ca="1" si="1"/>
        <v>Weekly - 20/08/20 - YSX Unity</v>
      </c>
      <c r="G45" s="5">
        <v>483</v>
      </c>
      <c r="H45" s="21">
        <f>IF(E45=""," - ",(IFERROR(VLOOKUP(E45,Prices!A:B,2,0),1)))</f>
        <v>152</v>
      </c>
      <c r="I45" s="3"/>
      <c r="J45" s="3"/>
      <c r="K45" s="4"/>
      <c r="L45" s="3"/>
      <c r="M45" s="3"/>
      <c r="N45" s="3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</row>
    <row r="46" spans="1:30" x14ac:dyDescent="0.25">
      <c r="A46" s="3"/>
      <c r="B46" s="3"/>
      <c r="C46" s="18" t="str">
        <f t="shared" si="0"/>
        <v/>
      </c>
      <c r="D46" s="5">
        <v>44</v>
      </c>
      <c r="E46" s="5">
        <v>81280</v>
      </c>
      <c r="F46" s="5" t="str">
        <f t="shared" ca="1" si="1"/>
        <v>Weekly - 20/08/20 - YSX Unity</v>
      </c>
      <c r="G46" s="5">
        <v>806</v>
      </c>
      <c r="H46" s="21">
        <f>IF(E46=""," - ",(IFERROR(VLOOKUP(E46,Prices!A:B,2,0),1)))</f>
        <v>89</v>
      </c>
      <c r="I46" s="3"/>
      <c r="J46" s="3"/>
      <c r="K46" s="4"/>
      <c r="L46" s="3"/>
      <c r="M46" s="3"/>
      <c r="N46" s="3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</row>
    <row r="47" spans="1:30" x14ac:dyDescent="0.25">
      <c r="A47" s="3"/>
      <c r="B47" s="3"/>
      <c r="C47" s="18" t="str">
        <f t="shared" si="0"/>
        <v/>
      </c>
      <c r="D47" s="5">
        <v>45</v>
      </c>
      <c r="E47" s="5">
        <v>6639</v>
      </c>
      <c r="F47" s="5" t="str">
        <f t="shared" ca="1" si="1"/>
        <v>Weekly - 20/08/20 - YSX Unity</v>
      </c>
      <c r="G47" s="5">
        <v>529</v>
      </c>
      <c r="H47" s="21">
        <f>IF(E47=""," - ",(IFERROR(VLOOKUP(E47,Prices!A:B,2,0),1)))</f>
        <v>69</v>
      </c>
      <c r="I47" s="3"/>
      <c r="J47" s="3"/>
      <c r="K47" s="4"/>
      <c r="L47" s="3"/>
      <c r="M47" s="3"/>
      <c r="N47" s="3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</row>
    <row r="48" spans="1:30" x14ac:dyDescent="0.25">
      <c r="A48" s="3"/>
      <c r="B48" s="3"/>
      <c r="C48" s="18" t="str">
        <f t="shared" si="0"/>
        <v/>
      </c>
      <c r="D48" s="5">
        <v>46</v>
      </c>
      <c r="E48" s="5">
        <v>28643</v>
      </c>
      <c r="F48" s="5" t="str">
        <f t="shared" ca="1" si="1"/>
        <v>Weekly - 20/08/20 - YSX Unity</v>
      </c>
      <c r="G48" s="5">
        <v>227</v>
      </c>
      <c r="H48" s="21">
        <f>IF(E48=""," - ",(IFERROR(VLOOKUP(E48,Prices!A:B,2,0),1)))</f>
        <v>111</v>
      </c>
      <c r="I48" s="3"/>
      <c r="J48" s="3"/>
      <c r="K48" s="4"/>
      <c r="L48" s="3"/>
      <c r="M48" s="3"/>
      <c r="N48" s="3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</row>
    <row r="49" spans="1:30" x14ac:dyDescent="0.25">
      <c r="A49" s="3"/>
      <c r="B49" s="3"/>
      <c r="C49" s="18" t="str">
        <f t="shared" si="0"/>
        <v/>
      </c>
      <c r="D49" s="5">
        <v>47</v>
      </c>
      <c r="E49" s="5">
        <v>90559</v>
      </c>
      <c r="F49" s="5" t="str">
        <f t="shared" ca="1" si="1"/>
        <v>Weekly - 20/08/20 - YSX Unity</v>
      </c>
      <c r="G49" s="5">
        <v>343</v>
      </c>
      <c r="H49" s="21">
        <f>IF(E49=""," - ",(IFERROR(VLOOKUP(E49,Prices!A:B,2,0),1)))</f>
        <v>67</v>
      </c>
      <c r="I49" s="3"/>
      <c r="J49" s="3"/>
      <c r="K49" s="4"/>
      <c r="L49" s="3"/>
      <c r="M49" s="3"/>
      <c r="N49" s="3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</row>
    <row r="50" spans="1:30" x14ac:dyDescent="0.25">
      <c r="A50" s="3"/>
      <c r="B50" s="3"/>
      <c r="C50" s="18" t="str">
        <f t="shared" si="0"/>
        <v/>
      </c>
      <c r="D50" s="5">
        <v>48</v>
      </c>
      <c r="E50" s="5">
        <v>74732</v>
      </c>
      <c r="F50" s="5" t="str">
        <f t="shared" ca="1" si="1"/>
        <v>Weekly - 20/08/20 - YSX Unity</v>
      </c>
      <c r="G50" s="5">
        <v>549</v>
      </c>
      <c r="H50" s="21">
        <f>IF(E50=""," - ",(IFERROR(VLOOKUP(E50,Prices!A:B,2,0),1)))</f>
        <v>129</v>
      </c>
      <c r="I50" s="3"/>
      <c r="J50" s="3"/>
      <c r="K50" s="4"/>
      <c r="L50" s="3"/>
      <c r="M50" s="3"/>
      <c r="N50" s="3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</row>
    <row r="51" spans="1:30" x14ac:dyDescent="0.25">
      <c r="A51" s="3"/>
      <c r="B51" s="3"/>
      <c r="C51" s="18" t="str">
        <f t="shared" si="0"/>
        <v/>
      </c>
      <c r="D51" s="5">
        <v>49</v>
      </c>
      <c r="E51" s="5">
        <v>95747</v>
      </c>
      <c r="F51" s="5" t="str">
        <f t="shared" ca="1" si="1"/>
        <v>Weekly - 20/08/20 - YSX Unity</v>
      </c>
      <c r="G51" s="5">
        <v>814</v>
      </c>
      <c r="H51" s="21">
        <f>IF(E51=""," - ",(IFERROR(VLOOKUP(E51,Prices!A:B,2,0),1)))</f>
        <v>176</v>
      </c>
      <c r="I51" s="3"/>
      <c r="J51" s="3"/>
      <c r="K51" s="4"/>
      <c r="L51" s="3"/>
      <c r="M51" s="3"/>
      <c r="N51" s="3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</row>
    <row r="52" spans="1:30" x14ac:dyDescent="0.25">
      <c r="A52" s="3"/>
      <c r="B52" s="3"/>
      <c r="C52" s="18" t="str">
        <f t="shared" si="0"/>
        <v/>
      </c>
      <c r="D52" s="5">
        <v>50</v>
      </c>
      <c r="E52" s="5">
        <v>73026</v>
      </c>
      <c r="F52" s="5" t="str">
        <f t="shared" ca="1" si="1"/>
        <v>Weekly - 20/08/20 - YSX Unity</v>
      </c>
      <c r="G52" s="5">
        <v>52</v>
      </c>
      <c r="H52" s="21">
        <f>IF(E52=""," - ",(IFERROR(VLOOKUP(E52,Prices!A:B,2,0),1)))</f>
        <v>188</v>
      </c>
      <c r="I52" s="3"/>
      <c r="J52" s="3"/>
      <c r="K52" s="4"/>
      <c r="L52" s="3"/>
      <c r="M52" s="3"/>
      <c r="N52" s="3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</row>
    <row r="53" spans="1:30" x14ac:dyDescent="0.25">
      <c r="A53" s="3"/>
      <c r="B53" s="3"/>
      <c r="C53" s="18" t="str">
        <f t="shared" si="0"/>
        <v/>
      </c>
      <c r="D53" s="5">
        <v>51</v>
      </c>
      <c r="E53" s="5">
        <v>12122</v>
      </c>
      <c r="F53" s="5" t="str">
        <f t="shared" ca="1" si="1"/>
        <v>Weekly - 20/08/20 - YSX Unity</v>
      </c>
      <c r="G53" s="5">
        <v>823</v>
      </c>
      <c r="H53" s="21">
        <f>IF(E53=""," - ",(IFERROR(VLOOKUP(E53,Prices!A:B,2,0),1)))</f>
        <v>146</v>
      </c>
      <c r="I53" s="3"/>
      <c r="J53" s="3"/>
      <c r="K53" s="4"/>
      <c r="L53" s="3"/>
      <c r="M53" s="3"/>
      <c r="N53" s="3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</row>
    <row r="54" spans="1:30" x14ac:dyDescent="0.25">
      <c r="A54" s="3"/>
      <c r="B54" s="3"/>
      <c r="C54" s="18" t="str">
        <f t="shared" si="0"/>
        <v/>
      </c>
      <c r="D54" s="5">
        <v>52</v>
      </c>
      <c r="E54" s="5">
        <v>25277</v>
      </c>
      <c r="F54" s="5" t="str">
        <f t="shared" ca="1" si="1"/>
        <v>Weekly - 20/08/20 - YSX Unity</v>
      </c>
      <c r="G54" s="5">
        <v>430</v>
      </c>
      <c r="H54" s="21">
        <f>IF(E54=""," - ",(IFERROR(VLOOKUP(E54,Prices!A:B,2,0),1)))</f>
        <v>155</v>
      </c>
      <c r="I54" s="3"/>
      <c r="J54" s="3"/>
      <c r="K54" s="4"/>
      <c r="L54" s="3"/>
      <c r="M54" s="3"/>
      <c r="N54" s="3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</row>
    <row r="55" spans="1:30" x14ac:dyDescent="0.25">
      <c r="A55" s="3"/>
      <c r="B55" s="3"/>
      <c r="C55" s="18" t="str">
        <f t="shared" si="0"/>
        <v/>
      </c>
      <c r="D55" s="5">
        <v>53</v>
      </c>
      <c r="E55" s="5">
        <v>91214</v>
      </c>
      <c r="F55" s="5" t="str">
        <f t="shared" ca="1" si="1"/>
        <v>Weekly - 20/08/20 - YSX Unity</v>
      </c>
      <c r="G55" s="5">
        <v>508</v>
      </c>
      <c r="H55" s="21">
        <f>IF(E55=""," - ",(IFERROR(VLOOKUP(E55,Prices!A:B,2,0),1)))</f>
        <v>9</v>
      </c>
      <c r="I55" s="3"/>
      <c r="J55" s="3"/>
      <c r="K55" s="4"/>
      <c r="L55" s="3"/>
      <c r="M55" s="3"/>
      <c r="N55" s="3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</row>
    <row r="56" spans="1:30" x14ac:dyDescent="0.25">
      <c r="A56" s="3"/>
      <c r="B56" s="3"/>
      <c r="C56" s="18" t="str">
        <f t="shared" si="0"/>
        <v/>
      </c>
      <c r="D56" s="5">
        <v>54</v>
      </c>
      <c r="E56" s="5">
        <v>28015</v>
      </c>
      <c r="F56" s="5" t="str">
        <f t="shared" ca="1" si="1"/>
        <v>Weekly - 20/08/20 - YSX Unity</v>
      </c>
      <c r="G56" s="5">
        <v>498</v>
      </c>
      <c r="H56" s="21">
        <f>IF(E56=""," - ",(IFERROR(VLOOKUP(E56,Prices!A:B,2,0),1)))</f>
        <v>155</v>
      </c>
      <c r="I56" s="3"/>
      <c r="J56" s="3"/>
      <c r="K56" s="4"/>
      <c r="L56" s="3"/>
      <c r="M56" s="3"/>
      <c r="N56" s="3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</row>
    <row r="57" spans="1:30" x14ac:dyDescent="0.25">
      <c r="A57" s="3"/>
      <c r="B57" s="3"/>
      <c r="C57" s="18" t="str">
        <f t="shared" si="0"/>
        <v/>
      </c>
      <c r="D57" s="5">
        <v>55</v>
      </c>
      <c r="E57" s="5">
        <v>64081</v>
      </c>
      <c r="F57" s="5" t="str">
        <f t="shared" ca="1" si="1"/>
        <v>Weekly - 20/08/20 - YSX Unity</v>
      </c>
      <c r="G57" s="5">
        <v>338</v>
      </c>
      <c r="H57" s="21">
        <f>IF(E57=""," - ",(IFERROR(VLOOKUP(E57,Prices!A:B,2,0),1)))</f>
        <v>183</v>
      </c>
      <c r="I57" s="3"/>
      <c r="J57" s="3"/>
      <c r="K57" s="4"/>
      <c r="L57" s="3"/>
      <c r="M57" s="3"/>
      <c r="N57" s="3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</row>
    <row r="58" spans="1:30" x14ac:dyDescent="0.25">
      <c r="A58" s="3"/>
      <c r="B58" s="3"/>
      <c r="C58" s="18" t="str">
        <f t="shared" si="0"/>
        <v/>
      </c>
      <c r="D58" s="5">
        <v>56</v>
      </c>
      <c r="E58" s="5">
        <v>97673</v>
      </c>
      <c r="F58" s="5" t="str">
        <f t="shared" ca="1" si="1"/>
        <v>Weekly - 20/08/20 - YSX Unity</v>
      </c>
      <c r="G58" s="5">
        <v>907</v>
      </c>
      <c r="H58" s="21">
        <f>IF(E58=""," - ",(IFERROR(VLOOKUP(E58,Prices!A:B,2,0),1)))</f>
        <v>189</v>
      </c>
      <c r="I58" s="3"/>
      <c r="J58" s="3"/>
      <c r="K58" s="4"/>
      <c r="L58" s="3"/>
      <c r="M58" s="3"/>
      <c r="N58" s="3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</row>
    <row r="59" spans="1:30" x14ac:dyDescent="0.25">
      <c r="A59" s="3"/>
      <c r="B59" s="3"/>
      <c r="C59" s="18" t="str">
        <f t="shared" si="0"/>
        <v/>
      </c>
      <c r="D59" s="5">
        <v>57</v>
      </c>
      <c r="E59" s="5">
        <v>4181</v>
      </c>
      <c r="F59" s="5" t="str">
        <f t="shared" ca="1" si="1"/>
        <v>Weekly - 20/08/20 - YSX Unity</v>
      </c>
      <c r="G59" s="5">
        <v>704</v>
      </c>
      <c r="H59" s="21">
        <f>IF(E59=""," - ",(IFERROR(VLOOKUP(E59,Prices!A:B,2,0),1)))</f>
        <v>105</v>
      </c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</row>
    <row r="60" spans="1:30" x14ac:dyDescent="0.25">
      <c r="A60" s="3"/>
      <c r="B60" s="3"/>
      <c r="C60" s="18" t="str">
        <f t="shared" si="0"/>
        <v/>
      </c>
      <c r="D60" s="5">
        <v>58</v>
      </c>
      <c r="E60" s="5">
        <v>97508</v>
      </c>
      <c r="F60" s="5" t="str">
        <f t="shared" ca="1" si="1"/>
        <v>Weekly - 20/08/20 - YSX Unity</v>
      </c>
      <c r="G60" s="5">
        <v>68</v>
      </c>
      <c r="H60" s="21">
        <f>IF(E60=""," - ",(IFERROR(VLOOKUP(E60,Prices!A:B,2,0),1)))</f>
        <v>143</v>
      </c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</row>
    <row r="61" spans="1:30" x14ac:dyDescent="0.25">
      <c r="A61" s="3"/>
      <c r="B61" s="3"/>
      <c r="C61" s="18" t="str">
        <f t="shared" si="0"/>
        <v/>
      </c>
      <c r="D61" s="5">
        <v>59</v>
      </c>
      <c r="E61" s="5">
        <v>71163</v>
      </c>
      <c r="F61" s="5" t="str">
        <f t="shared" ca="1" si="1"/>
        <v>Weekly - 20/08/20 - YSX Unity</v>
      </c>
      <c r="G61" s="5">
        <v>789</v>
      </c>
      <c r="H61" s="21">
        <f>IF(E61=""," - ",(IFERROR(VLOOKUP(E61,Prices!A:B,2,0),1)))</f>
        <v>38</v>
      </c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</row>
    <row r="62" spans="1:30" x14ac:dyDescent="0.25">
      <c r="A62" s="3"/>
      <c r="B62" s="3"/>
      <c r="C62" s="18" t="str">
        <f t="shared" si="0"/>
        <v/>
      </c>
      <c r="D62" s="5">
        <v>60</v>
      </c>
      <c r="E62" s="5">
        <v>84184</v>
      </c>
      <c r="F62" s="5" t="str">
        <f t="shared" ca="1" si="1"/>
        <v>Weekly - 20/08/20 - YSX Unity</v>
      </c>
      <c r="G62" s="5">
        <v>29</v>
      </c>
      <c r="H62" s="21">
        <f>IF(E62=""," - ",(IFERROR(VLOOKUP(E62,Prices!A:B,2,0),1)))</f>
        <v>192</v>
      </c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</row>
    <row r="63" spans="1:30" x14ac:dyDescent="0.25">
      <c r="A63" s="3"/>
      <c r="B63" s="3"/>
      <c r="C63" s="18" t="str">
        <f t="shared" si="0"/>
        <v/>
      </c>
      <c r="D63" s="5">
        <v>61</v>
      </c>
      <c r="E63" s="5">
        <v>58178</v>
      </c>
      <c r="F63" s="5" t="str">
        <f t="shared" ca="1" si="1"/>
        <v>Weekly - 20/08/20 - YSX Unity</v>
      </c>
      <c r="G63" s="5">
        <v>499</v>
      </c>
      <c r="H63" s="21">
        <f>IF(E63=""," - ",(IFERROR(VLOOKUP(E63,Prices!A:B,2,0),1)))</f>
        <v>31</v>
      </c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</row>
    <row r="64" spans="1:30" x14ac:dyDescent="0.25">
      <c r="A64" s="3"/>
      <c r="B64" s="3"/>
      <c r="C64" s="18" t="str">
        <f t="shared" si="0"/>
        <v/>
      </c>
      <c r="D64" s="5">
        <v>62</v>
      </c>
      <c r="E64" s="5">
        <v>48040</v>
      </c>
      <c r="F64" s="5" t="str">
        <f t="shared" ca="1" si="1"/>
        <v>Weekly - 20/08/20 - YSX Unity</v>
      </c>
      <c r="G64" s="5">
        <v>618</v>
      </c>
      <c r="H64" s="21">
        <f>IF(E64=""," - ",(IFERROR(VLOOKUP(E64,Prices!A:B,2,0),1)))</f>
        <v>25</v>
      </c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</row>
    <row r="65" spans="1:30" x14ac:dyDescent="0.25">
      <c r="A65" s="3"/>
      <c r="B65" s="3"/>
      <c r="C65" s="18" t="str">
        <f t="shared" si="0"/>
        <v/>
      </c>
      <c r="D65" s="5">
        <v>63</v>
      </c>
      <c r="E65" s="5">
        <v>57599</v>
      </c>
      <c r="F65" s="5" t="str">
        <f t="shared" ca="1" si="1"/>
        <v>Weekly - 20/08/20 - YSX Unity</v>
      </c>
      <c r="G65" s="5">
        <v>863</v>
      </c>
      <c r="H65" s="21">
        <f>IF(E65=""," - ",(IFERROR(VLOOKUP(E65,Prices!A:B,2,0),1)))</f>
        <v>82</v>
      </c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</row>
    <row r="66" spans="1:30" x14ac:dyDescent="0.25">
      <c r="A66" s="3"/>
      <c r="B66" s="3"/>
      <c r="C66" s="18" t="str">
        <f t="shared" si="0"/>
        <v/>
      </c>
      <c r="D66" s="5">
        <v>64</v>
      </c>
      <c r="E66" s="5">
        <v>33130</v>
      </c>
      <c r="F66" s="5" t="str">
        <f t="shared" ca="1" si="1"/>
        <v>Weekly - 20/08/20 - YSX Unity</v>
      </c>
      <c r="G66" s="5">
        <v>950</v>
      </c>
      <c r="H66" s="21">
        <f>IF(E66=""," - ",(IFERROR(VLOOKUP(E66,Prices!A:B,2,0),1)))</f>
        <v>199</v>
      </c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</row>
    <row r="67" spans="1:30" x14ac:dyDescent="0.25">
      <c r="A67" s="3"/>
      <c r="B67" s="3"/>
      <c r="C67" s="18" t="str">
        <f t="shared" si="0"/>
        <v/>
      </c>
      <c r="D67" s="5">
        <v>65</v>
      </c>
      <c r="E67" s="5">
        <v>33932</v>
      </c>
      <c r="F67" s="5" t="str">
        <f t="shared" ca="1" si="1"/>
        <v>Weekly - 20/08/20 - YSX Unity</v>
      </c>
      <c r="G67" s="5">
        <v>936</v>
      </c>
      <c r="H67" s="21">
        <f>IF(E67=""," - ",(IFERROR(VLOOKUP(E67,Prices!A:B,2,0),1)))</f>
        <v>104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</row>
    <row r="68" spans="1:30" x14ac:dyDescent="0.25">
      <c r="A68" s="3"/>
      <c r="B68" s="3"/>
      <c r="C68" s="18" t="str">
        <f t="shared" ref="C68:C131" si="2">IFERROR(IF(MATCH($B$3,D:D)-2=D68,"à",""),"")</f>
        <v/>
      </c>
      <c r="D68" s="5">
        <v>66</v>
      </c>
      <c r="E68" s="5">
        <v>96591</v>
      </c>
      <c r="F68" s="5" t="str">
        <f t="shared" ref="F68:F131" ca="1" si="3">_xlfn.CONCAT($K$7, " - ", TEXT(TODAY(),"AA/MM/DD"), " - ",$K$4)</f>
        <v>Weekly - 20/08/20 - YSX Unity</v>
      </c>
      <c r="G68" s="5">
        <v>647</v>
      </c>
      <c r="H68" s="21">
        <f>IF(E68=""," - ",(IFERROR(VLOOKUP(E68,Prices!A:B,2,0),1)))</f>
        <v>54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</row>
    <row r="69" spans="1:30" x14ac:dyDescent="0.25">
      <c r="A69" s="3"/>
      <c r="B69" s="3"/>
      <c r="C69" s="18" t="str">
        <f t="shared" si="2"/>
        <v/>
      </c>
      <c r="D69" s="5">
        <v>67</v>
      </c>
      <c r="E69" s="5">
        <v>6253</v>
      </c>
      <c r="F69" s="5" t="str">
        <f t="shared" ca="1" si="3"/>
        <v>Weekly - 20/08/20 - YSX Unity</v>
      </c>
      <c r="G69" s="5">
        <v>569</v>
      </c>
      <c r="H69" s="21">
        <f>IF(E69=""," - ",(IFERROR(VLOOKUP(E69,Prices!A:B,2,0),1)))</f>
        <v>37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</row>
    <row r="70" spans="1:30" x14ac:dyDescent="0.25">
      <c r="A70" s="3"/>
      <c r="B70" s="3"/>
      <c r="C70" s="18" t="str">
        <f t="shared" si="2"/>
        <v/>
      </c>
      <c r="D70" s="5">
        <v>68</v>
      </c>
      <c r="E70" s="5">
        <v>79432</v>
      </c>
      <c r="F70" s="5" t="str">
        <f t="shared" ca="1" si="3"/>
        <v>Weekly - 20/08/20 - YSX Unity</v>
      </c>
      <c r="G70" s="5">
        <v>278</v>
      </c>
      <c r="H70" s="21">
        <f>IF(E70=""," - ",(IFERROR(VLOOKUP(E70,Prices!A:B,2,0),1)))</f>
        <v>190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</row>
    <row r="71" spans="1:30" x14ac:dyDescent="0.25">
      <c r="A71" s="3"/>
      <c r="B71" s="3"/>
      <c r="C71" s="18" t="str">
        <f t="shared" si="2"/>
        <v/>
      </c>
      <c r="D71" s="5">
        <v>69</v>
      </c>
      <c r="E71" s="5">
        <v>27568</v>
      </c>
      <c r="F71" s="5" t="str">
        <f t="shared" ca="1" si="3"/>
        <v>Weekly - 20/08/20 - YSX Unity</v>
      </c>
      <c r="G71" s="5">
        <v>583</v>
      </c>
      <c r="H71" s="21">
        <f>IF(E71=""," - ",(IFERROR(VLOOKUP(E71,Prices!A:B,2,0),1)))</f>
        <v>50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</row>
    <row r="72" spans="1:30" x14ac:dyDescent="0.25">
      <c r="A72" s="3"/>
      <c r="B72" s="3"/>
      <c r="C72" s="18" t="str">
        <f t="shared" si="2"/>
        <v/>
      </c>
      <c r="D72" s="5">
        <v>70</v>
      </c>
      <c r="E72" s="5">
        <v>79583</v>
      </c>
      <c r="F72" s="5" t="str">
        <f t="shared" ca="1" si="3"/>
        <v>Weekly - 20/08/20 - YSX Unity</v>
      </c>
      <c r="G72" s="5">
        <v>457</v>
      </c>
      <c r="H72" s="21">
        <f>IF(E72=""," - ",(IFERROR(VLOOKUP(E72,Prices!A:B,2,0),1)))</f>
        <v>70</v>
      </c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</row>
    <row r="73" spans="1:30" x14ac:dyDescent="0.25">
      <c r="A73" s="3"/>
      <c r="B73" s="3"/>
      <c r="C73" s="18" t="str">
        <f t="shared" si="2"/>
        <v/>
      </c>
      <c r="D73" s="5">
        <v>71</v>
      </c>
      <c r="E73" s="5">
        <v>12185</v>
      </c>
      <c r="F73" s="5" t="str">
        <f t="shared" ca="1" si="3"/>
        <v>Weekly - 20/08/20 - YSX Unity</v>
      </c>
      <c r="G73" s="5">
        <v>933</v>
      </c>
      <c r="H73" s="21">
        <f>IF(E73=""," - ",(IFERROR(VLOOKUP(E73,Prices!A:B,2,0),1)))</f>
        <v>89</v>
      </c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</row>
    <row r="74" spans="1:30" x14ac:dyDescent="0.25">
      <c r="A74" s="3"/>
      <c r="B74" s="3"/>
      <c r="C74" s="18" t="str">
        <f t="shared" si="2"/>
        <v/>
      </c>
      <c r="D74" s="5">
        <v>72</v>
      </c>
      <c r="E74" s="5">
        <v>32202</v>
      </c>
      <c r="F74" s="5" t="str">
        <f t="shared" ca="1" si="3"/>
        <v>Weekly - 20/08/20 - YSX Unity</v>
      </c>
      <c r="G74" s="5">
        <v>237</v>
      </c>
      <c r="H74" s="21">
        <f>IF(E74=""," - ",(IFERROR(VLOOKUP(E74,Prices!A:B,2,0),1)))</f>
        <v>100</v>
      </c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</row>
    <row r="75" spans="1:30" x14ac:dyDescent="0.25">
      <c r="A75" s="3"/>
      <c r="B75" s="3"/>
      <c r="C75" s="18" t="str">
        <f t="shared" si="2"/>
        <v/>
      </c>
      <c r="D75" s="5">
        <v>73</v>
      </c>
      <c r="E75" s="5">
        <v>33418</v>
      </c>
      <c r="F75" s="5" t="str">
        <f t="shared" ca="1" si="3"/>
        <v>Weekly - 20/08/20 - YSX Unity</v>
      </c>
      <c r="G75" s="5">
        <v>321</v>
      </c>
      <c r="H75" s="21">
        <f>IF(E75=""," - ",(IFERROR(VLOOKUP(E75,Prices!A:B,2,0),1)))</f>
        <v>156</v>
      </c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</row>
    <row r="76" spans="1:30" x14ac:dyDescent="0.25">
      <c r="A76" s="3"/>
      <c r="B76" s="3"/>
      <c r="C76" s="18" t="str">
        <f t="shared" si="2"/>
        <v/>
      </c>
      <c r="D76" s="5">
        <v>74</v>
      </c>
      <c r="E76" s="5">
        <v>69077</v>
      </c>
      <c r="F76" s="5" t="str">
        <f t="shared" ca="1" si="3"/>
        <v>Weekly - 20/08/20 - YSX Unity</v>
      </c>
      <c r="G76" s="5">
        <v>155</v>
      </c>
      <c r="H76" s="21">
        <f>IF(E76=""," - ",(IFERROR(VLOOKUP(E76,Prices!A:B,2,0),1)))</f>
        <v>115</v>
      </c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</row>
    <row r="77" spans="1:30" x14ac:dyDescent="0.25">
      <c r="A77" s="3"/>
      <c r="B77" s="3"/>
      <c r="C77" s="18" t="str">
        <f t="shared" si="2"/>
        <v/>
      </c>
      <c r="D77" s="5">
        <v>75</v>
      </c>
      <c r="E77" s="5">
        <v>8908</v>
      </c>
      <c r="F77" s="5" t="str">
        <f t="shared" ca="1" si="3"/>
        <v>Weekly - 20/08/20 - YSX Unity</v>
      </c>
      <c r="G77" s="5">
        <v>708</v>
      </c>
      <c r="H77" s="21">
        <f>IF(E77=""," - ",(IFERROR(VLOOKUP(E77,Prices!A:B,2,0),1)))</f>
        <v>176</v>
      </c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</row>
    <row r="78" spans="1:30" x14ac:dyDescent="0.25">
      <c r="A78" s="3"/>
      <c r="B78" s="3"/>
      <c r="C78" s="18" t="str">
        <f t="shared" si="2"/>
        <v/>
      </c>
      <c r="D78" s="5">
        <v>76</v>
      </c>
      <c r="E78" s="5">
        <v>50534</v>
      </c>
      <c r="F78" s="5" t="str">
        <f t="shared" ca="1" si="3"/>
        <v>Weekly - 20/08/20 - YSX Unity</v>
      </c>
      <c r="G78" s="5">
        <v>951</v>
      </c>
      <c r="H78" s="21">
        <f>IF(E78=""," - ",(IFERROR(VLOOKUP(E78,Prices!A:B,2,0),1)))</f>
        <v>43</v>
      </c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</row>
    <row r="79" spans="1:30" x14ac:dyDescent="0.25">
      <c r="A79" s="3"/>
      <c r="B79" s="3"/>
      <c r="C79" s="18" t="str">
        <f t="shared" si="2"/>
        <v/>
      </c>
      <c r="D79" s="5">
        <v>77</v>
      </c>
      <c r="E79" s="5">
        <v>66918</v>
      </c>
      <c r="F79" s="5" t="str">
        <f t="shared" ca="1" si="3"/>
        <v>Weekly - 20/08/20 - YSX Unity</v>
      </c>
      <c r="G79" s="5">
        <v>810</v>
      </c>
      <c r="H79" s="21">
        <f>IF(E79=""," - ",(IFERROR(VLOOKUP(E79,Prices!A:B,2,0),1)))</f>
        <v>147</v>
      </c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</row>
    <row r="80" spans="1:30" x14ac:dyDescent="0.25">
      <c r="A80" s="3"/>
      <c r="B80" s="3"/>
      <c r="C80" s="18" t="str">
        <f t="shared" si="2"/>
        <v/>
      </c>
      <c r="D80" s="5">
        <v>78</v>
      </c>
      <c r="E80" s="5">
        <v>71742</v>
      </c>
      <c r="F80" s="5" t="str">
        <f t="shared" ca="1" si="3"/>
        <v>Weekly - 20/08/20 - YSX Unity</v>
      </c>
      <c r="G80" s="5">
        <v>466</v>
      </c>
      <c r="H80" s="21">
        <f>IF(E80=""," - ",(IFERROR(VLOOKUP(E80,Prices!A:B,2,0),1)))</f>
        <v>66</v>
      </c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</row>
    <row r="81" spans="1:25" x14ac:dyDescent="0.25">
      <c r="A81" s="3"/>
      <c r="B81" s="3"/>
      <c r="C81" s="18" t="str">
        <f t="shared" si="2"/>
        <v/>
      </c>
      <c r="D81" s="5">
        <v>79</v>
      </c>
      <c r="E81" s="5">
        <v>95675</v>
      </c>
      <c r="F81" s="5" t="str">
        <f t="shared" ca="1" si="3"/>
        <v>Weekly - 20/08/20 - YSX Unity</v>
      </c>
      <c r="G81" s="5">
        <v>219</v>
      </c>
      <c r="H81" s="21">
        <f>IF(E81=""," - ",(IFERROR(VLOOKUP(E81,Prices!A:B,2,0),1)))</f>
        <v>23</v>
      </c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</row>
    <row r="82" spans="1:25" x14ac:dyDescent="0.25">
      <c r="A82" s="3"/>
      <c r="B82" s="3"/>
      <c r="C82" s="18" t="str">
        <f t="shared" si="2"/>
        <v/>
      </c>
      <c r="D82" s="5">
        <v>80</v>
      </c>
      <c r="E82" s="5">
        <v>34921</v>
      </c>
      <c r="F82" s="5" t="str">
        <f t="shared" ca="1" si="3"/>
        <v>Weekly - 20/08/20 - YSX Unity</v>
      </c>
      <c r="G82" s="5">
        <v>948</v>
      </c>
      <c r="H82" s="21">
        <f>IF(E82=""," - ",(IFERROR(VLOOKUP(E82,Prices!A:B,2,0),1)))</f>
        <v>186</v>
      </c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</row>
    <row r="83" spans="1:25" x14ac:dyDescent="0.25">
      <c r="A83" s="3"/>
      <c r="B83" s="3"/>
      <c r="C83" s="18" t="str">
        <f t="shared" si="2"/>
        <v/>
      </c>
      <c r="D83" s="5">
        <v>81</v>
      </c>
      <c r="E83" s="5">
        <v>17973</v>
      </c>
      <c r="F83" s="5" t="str">
        <f t="shared" ca="1" si="3"/>
        <v>Weekly - 20/08/20 - YSX Unity</v>
      </c>
      <c r="G83" s="5">
        <v>350</v>
      </c>
      <c r="H83" s="21">
        <f>IF(E83=""," - ",(IFERROR(VLOOKUP(E83,Prices!A:B,2,0),1)))</f>
        <v>51</v>
      </c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</row>
    <row r="84" spans="1:25" x14ac:dyDescent="0.25">
      <c r="A84" s="3"/>
      <c r="B84" s="3"/>
      <c r="C84" s="18" t="str">
        <f t="shared" si="2"/>
        <v/>
      </c>
      <c r="D84" s="5">
        <v>82</v>
      </c>
      <c r="E84" s="5">
        <v>20329</v>
      </c>
      <c r="F84" s="5" t="str">
        <f t="shared" ca="1" si="3"/>
        <v>Weekly - 20/08/20 - YSX Unity</v>
      </c>
      <c r="G84" s="5">
        <v>781</v>
      </c>
      <c r="H84" s="21">
        <f>IF(E84=""," - ",(IFERROR(VLOOKUP(E84,Prices!A:B,2,0),1)))</f>
        <v>93</v>
      </c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</row>
    <row r="85" spans="1:25" x14ac:dyDescent="0.25">
      <c r="A85" s="3"/>
      <c r="B85" s="3"/>
      <c r="C85" s="18" t="str">
        <f t="shared" si="2"/>
        <v/>
      </c>
      <c r="D85" s="5">
        <v>83</v>
      </c>
      <c r="E85" s="5">
        <v>71028</v>
      </c>
      <c r="F85" s="5" t="str">
        <f t="shared" ca="1" si="3"/>
        <v>Weekly - 20/08/20 - YSX Unity</v>
      </c>
      <c r="G85" s="5">
        <v>546</v>
      </c>
      <c r="H85" s="21">
        <f>IF(E85=""," - ",(IFERROR(VLOOKUP(E85,Prices!A:B,2,0),1)))</f>
        <v>47</v>
      </c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</row>
    <row r="86" spans="1:25" x14ac:dyDescent="0.25">
      <c r="A86" s="3"/>
      <c r="B86" s="3"/>
      <c r="C86" s="18" t="str">
        <f t="shared" si="2"/>
        <v/>
      </c>
      <c r="D86" s="5">
        <v>84</v>
      </c>
      <c r="E86" s="5">
        <v>42118</v>
      </c>
      <c r="F86" s="5" t="str">
        <f t="shared" ca="1" si="3"/>
        <v>Weekly - 20/08/20 - YSX Unity</v>
      </c>
      <c r="G86" s="5">
        <v>975</v>
      </c>
      <c r="H86" s="21">
        <f>IF(E86=""," - ",(IFERROR(VLOOKUP(E86,Prices!A:B,2,0),1)))</f>
        <v>140</v>
      </c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</row>
    <row r="87" spans="1:25" x14ac:dyDescent="0.25">
      <c r="A87" s="3"/>
      <c r="B87" s="3"/>
      <c r="C87" s="18" t="str">
        <f t="shared" si="2"/>
        <v/>
      </c>
      <c r="D87" s="5">
        <v>85</v>
      </c>
      <c r="E87" s="5">
        <v>72523</v>
      </c>
      <c r="F87" s="5" t="str">
        <f t="shared" ca="1" si="3"/>
        <v>Weekly - 20/08/20 - YSX Unity</v>
      </c>
      <c r="G87" s="5">
        <v>645</v>
      </c>
      <c r="H87" s="21">
        <f>IF(E87=""," - ",(IFERROR(VLOOKUP(E87,Prices!A:B,2,0),1)))</f>
        <v>50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</row>
    <row r="88" spans="1:25" x14ac:dyDescent="0.25">
      <c r="A88" s="3"/>
      <c r="B88" s="3"/>
      <c r="C88" s="18" t="str">
        <f t="shared" si="2"/>
        <v/>
      </c>
      <c r="D88" s="5">
        <v>86</v>
      </c>
      <c r="E88" s="5">
        <v>50584</v>
      </c>
      <c r="F88" s="5" t="str">
        <f t="shared" ca="1" si="3"/>
        <v>Weekly - 20/08/20 - YSX Unity</v>
      </c>
      <c r="G88" s="5">
        <v>572</v>
      </c>
      <c r="H88" s="21">
        <f>IF(E88=""," - ",(IFERROR(VLOOKUP(E88,Prices!A:B,2,0),1)))</f>
        <v>161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</row>
    <row r="89" spans="1:25" x14ac:dyDescent="0.25">
      <c r="A89" s="3"/>
      <c r="B89" s="3"/>
      <c r="C89" s="18" t="str">
        <f t="shared" si="2"/>
        <v/>
      </c>
      <c r="D89" s="5">
        <v>87</v>
      </c>
      <c r="E89" s="5">
        <v>14042</v>
      </c>
      <c r="F89" s="5" t="str">
        <f t="shared" ca="1" si="3"/>
        <v>Weekly - 20/08/20 - YSX Unity</v>
      </c>
      <c r="G89" s="5">
        <v>318</v>
      </c>
      <c r="H89" s="21">
        <f>IF(E89=""," - ",(IFERROR(VLOOKUP(E89,Prices!A:B,2,0),1)))</f>
        <v>128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</row>
    <row r="90" spans="1:25" x14ac:dyDescent="0.25">
      <c r="A90" s="3"/>
      <c r="B90" s="3"/>
      <c r="C90" s="18" t="str">
        <f t="shared" si="2"/>
        <v/>
      </c>
      <c r="D90" s="5">
        <v>88</v>
      </c>
      <c r="E90" s="5">
        <v>41331</v>
      </c>
      <c r="F90" s="5" t="str">
        <f t="shared" ca="1" si="3"/>
        <v>Weekly - 20/08/20 - YSX Unity</v>
      </c>
      <c r="G90" s="5">
        <v>247</v>
      </c>
      <c r="H90" s="21">
        <f>IF(E90=""," - ",(IFERROR(VLOOKUP(E90,Prices!A:B,2,0),1)))</f>
        <v>13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</row>
    <row r="91" spans="1:25" x14ac:dyDescent="0.25">
      <c r="A91" s="3"/>
      <c r="B91" s="3"/>
      <c r="C91" s="18" t="str">
        <f t="shared" si="2"/>
        <v/>
      </c>
      <c r="D91" s="5">
        <v>89</v>
      </c>
      <c r="E91" s="5">
        <v>73853</v>
      </c>
      <c r="F91" s="5" t="str">
        <f t="shared" ca="1" si="3"/>
        <v>Weekly - 20/08/20 - YSX Unity</v>
      </c>
      <c r="G91" s="5">
        <v>4</v>
      </c>
      <c r="H91" s="21">
        <f>IF(E91=""," - ",(IFERROR(VLOOKUP(E91,Prices!A:B,2,0),1)))</f>
        <v>108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</row>
    <row r="92" spans="1:25" x14ac:dyDescent="0.25">
      <c r="A92" s="3"/>
      <c r="B92" s="3"/>
      <c r="C92" s="18" t="str">
        <f t="shared" si="2"/>
        <v/>
      </c>
      <c r="D92" s="5">
        <v>90</v>
      </c>
      <c r="E92" s="5">
        <v>75879</v>
      </c>
      <c r="F92" s="5" t="str">
        <f t="shared" ca="1" si="3"/>
        <v>Weekly - 20/08/20 - YSX Unity</v>
      </c>
      <c r="G92" s="5">
        <v>294</v>
      </c>
      <c r="H92" s="21">
        <f>IF(E92=""," - ",(IFERROR(VLOOKUP(E92,Prices!A:B,2,0),1)))</f>
        <v>67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</row>
    <row r="93" spans="1:25" x14ac:dyDescent="0.25">
      <c r="A93" s="3"/>
      <c r="B93" s="3"/>
      <c r="C93" s="18" t="str">
        <f t="shared" si="2"/>
        <v/>
      </c>
      <c r="D93" s="5">
        <v>91</v>
      </c>
      <c r="E93" s="5">
        <v>65296</v>
      </c>
      <c r="F93" s="5" t="str">
        <f t="shared" ca="1" si="3"/>
        <v>Weekly - 20/08/20 - YSX Unity</v>
      </c>
      <c r="G93" s="5">
        <v>458</v>
      </c>
      <c r="H93" s="21">
        <f>IF(E93=""," - ",(IFERROR(VLOOKUP(E93,Prices!A:B,2,0),1)))</f>
        <v>161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</row>
    <row r="94" spans="1:25" x14ac:dyDescent="0.25">
      <c r="A94" s="3"/>
      <c r="B94" s="3"/>
      <c r="C94" s="18" t="str">
        <f t="shared" si="2"/>
        <v/>
      </c>
      <c r="D94" s="5">
        <v>92</v>
      </c>
      <c r="E94" s="5">
        <v>78677</v>
      </c>
      <c r="F94" s="5" t="str">
        <f t="shared" ca="1" si="3"/>
        <v>Weekly - 20/08/20 - YSX Unity</v>
      </c>
      <c r="G94" s="5">
        <v>443</v>
      </c>
      <c r="H94" s="21">
        <f>IF(E94=""," - ",(IFERROR(VLOOKUP(E94,Prices!A:B,2,0),1)))</f>
        <v>131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</row>
    <row r="95" spans="1:25" x14ac:dyDescent="0.25">
      <c r="A95" s="3"/>
      <c r="B95" s="3"/>
      <c r="C95" s="18" t="str">
        <f t="shared" si="2"/>
        <v/>
      </c>
      <c r="D95" s="5">
        <v>93</v>
      </c>
      <c r="E95" s="5">
        <v>18460</v>
      </c>
      <c r="F95" s="5" t="str">
        <f t="shared" ca="1" si="3"/>
        <v>Weekly - 20/08/20 - YSX Unity</v>
      </c>
      <c r="G95" s="5">
        <v>346</v>
      </c>
      <c r="H95" s="21">
        <f>IF(E95=""," - ",(IFERROR(VLOOKUP(E95,Prices!A:B,2,0),1)))</f>
        <v>168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</row>
    <row r="96" spans="1:25" x14ac:dyDescent="0.25">
      <c r="A96" s="3"/>
      <c r="B96" s="3"/>
      <c r="C96" s="18" t="str">
        <f t="shared" si="2"/>
        <v/>
      </c>
      <c r="D96" s="5">
        <v>94</v>
      </c>
      <c r="E96" s="5">
        <v>21395</v>
      </c>
      <c r="F96" s="5" t="str">
        <f t="shared" ca="1" si="3"/>
        <v>Weekly - 20/08/20 - YSX Unity</v>
      </c>
      <c r="G96" s="5">
        <v>393</v>
      </c>
      <c r="H96" s="21">
        <f>IF(E96=""," - ",(IFERROR(VLOOKUP(E96,Prices!A:B,2,0),1)))</f>
        <v>25</v>
      </c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</row>
    <row r="97" spans="1:25" x14ac:dyDescent="0.25">
      <c r="A97" s="3"/>
      <c r="B97" s="3"/>
      <c r="C97" s="18" t="str">
        <f t="shared" si="2"/>
        <v/>
      </c>
      <c r="D97" s="5">
        <v>95</v>
      </c>
      <c r="E97" s="5">
        <v>88228</v>
      </c>
      <c r="F97" s="5" t="str">
        <f t="shared" ca="1" si="3"/>
        <v>Weekly - 20/08/20 - YSX Unity</v>
      </c>
      <c r="G97" s="5">
        <v>861</v>
      </c>
      <c r="H97" s="21">
        <f>IF(E97=""," - ",(IFERROR(VLOOKUP(E97,Prices!A:B,2,0),1)))</f>
        <v>77</v>
      </c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</row>
    <row r="98" spans="1:25" x14ac:dyDescent="0.25">
      <c r="A98" s="3"/>
      <c r="B98" s="3"/>
      <c r="C98" s="18" t="str">
        <f t="shared" si="2"/>
        <v/>
      </c>
      <c r="D98" s="5">
        <v>96</v>
      </c>
      <c r="E98" s="5">
        <v>64974</v>
      </c>
      <c r="F98" s="5" t="str">
        <f t="shared" ca="1" si="3"/>
        <v>Weekly - 20/08/20 - YSX Unity</v>
      </c>
      <c r="G98" s="5">
        <v>481</v>
      </c>
      <c r="H98" s="21">
        <f>IF(E98=""," - ",(IFERROR(VLOOKUP(E98,Prices!A:B,2,0),1)))</f>
        <v>62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</row>
    <row r="99" spans="1:25" x14ac:dyDescent="0.25">
      <c r="A99" s="3"/>
      <c r="B99" s="3"/>
      <c r="C99" s="18" t="str">
        <f t="shared" si="2"/>
        <v/>
      </c>
      <c r="D99" s="5">
        <v>97</v>
      </c>
      <c r="E99" s="5">
        <v>86845</v>
      </c>
      <c r="F99" s="5" t="str">
        <f t="shared" ca="1" si="3"/>
        <v>Weekly - 20/08/20 - YSX Unity</v>
      </c>
      <c r="G99" s="5">
        <v>989</v>
      </c>
      <c r="H99" s="21">
        <f>IF(E99=""," - ",(IFERROR(VLOOKUP(E99,Prices!A:B,2,0),1)))</f>
        <v>16</v>
      </c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</row>
    <row r="100" spans="1:25" x14ac:dyDescent="0.25">
      <c r="A100" s="3"/>
      <c r="B100" s="3"/>
      <c r="C100" s="18" t="str">
        <f t="shared" si="2"/>
        <v/>
      </c>
      <c r="D100" s="5">
        <v>98</v>
      </c>
      <c r="E100" s="5">
        <v>89184</v>
      </c>
      <c r="F100" s="5" t="str">
        <f t="shared" ca="1" si="3"/>
        <v>Weekly - 20/08/20 - YSX Unity</v>
      </c>
      <c r="G100" s="5">
        <v>82</v>
      </c>
      <c r="H100" s="21">
        <f>IF(E100=""," - ",(IFERROR(VLOOKUP(E100,Prices!A:B,2,0),1)))</f>
        <v>165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</row>
    <row r="101" spans="1:25" x14ac:dyDescent="0.25">
      <c r="A101" s="3"/>
      <c r="B101" s="3"/>
      <c r="C101" s="18" t="str">
        <f t="shared" si="2"/>
        <v/>
      </c>
      <c r="D101" s="5">
        <v>99</v>
      </c>
      <c r="E101" s="5">
        <v>5783</v>
      </c>
      <c r="F101" s="5" t="str">
        <f t="shared" ca="1" si="3"/>
        <v>Weekly - 20/08/20 - YSX Unity</v>
      </c>
      <c r="G101" s="5">
        <v>647</v>
      </c>
      <c r="H101" s="21">
        <f>IF(E101=""," - ",(IFERROR(VLOOKUP(E101,Prices!A:B,2,0),1)))</f>
        <v>150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</row>
    <row r="102" spans="1:25" x14ac:dyDescent="0.25">
      <c r="A102" s="3"/>
      <c r="B102" s="3"/>
      <c r="C102" s="18" t="str">
        <f t="shared" si="2"/>
        <v/>
      </c>
      <c r="D102" s="5">
        <v>100</v>
      </c>
      <c r="E102" s="5">
        <v>5210</v>
      </c>
      <c r="F102" s="5" t="str">
        <f t="shared" ca="1" si="3"/>
        <v>Weekly - 20/08/20 - YSX Unity</v>
      </c>
      <c r="G102" s="5">
        <v>370</v>
      </c>
      <c r="H102" s="21">
        <f>IF(E102=""," - ",(IFERROR(VLOOKUP(E102,Prices!A:B,2,0),1)))</f>
        <v>150</v>
      </c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</row>
    <row r="103" spans="1:25" x14ac:dyDescent="0.25">
      <c r="A103" s="3"/>
      <c r="B103" s="3"/>
      <c r="C103" s="18" t="str">
        <f t="shared" si="2"/>
        <v/>
      </c>
      <c r="D103" s="5">
        <v>101</v>
      </c>
      <c r="E103" s="5">
        <v>14426</v>
      </c>
      <c r="F103" s="5" t="str">
        <f t="shared" ca="1" si="3"/>
        <v>Weekly - 20/08/20 - YSX Unity</v>
      </c>
      <c r="G103" s="5">
        <v>915</v>
      </c>
      <c r="H103" s="21">
        <f>IF(E103=""," - ",(IFERROR(VLOOKUP(E103,Prices!A:B,2,0),1)))</f>
        <v>46</v>
      </c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</row>
    <row r="104" spans="1:25" x14ac:dyDescent="0.25">
      <c r="A104" s="3"/>
      <c r="B104" s="3"/>
      <c r="C104" s="18" t="str">
        <f t="shared" si="2"/>
        <v/>
      </c>
      <c r="D104" s="5">
        <v>102</v>
      </c>
      <c r="E104" s="5">
        <v>11572</v>
      </c>
      <c r="F104" s="5" t="str">
        <f t="shared" ca="1" si="3"/>
        <v>Weekly - 20/08/20 - YSX Unity</v>
      </c>
      <c r="G104" s="5">
        <v>470</v>
      </c>
      <c r="H104" s="21">
        <f>IF(E104=""," - ",(IFERROR(VLOOKUP(E104,Prices!A:B,2,0),1)))</f>
        <v>25</v>
      </c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</row>
    <row r="105" spans="1:25" x14ac:dyDescent="0.25">
      <c r="A105" s="3"/>
      <c r="B105" s="3"/>
      <c r="C105" s="18" t="str">
        <f t="shared" si="2"/>
        <v/>
      </c>
      <c r="D105" s="5">
        <v>103</v>
      </c>
      <c r="E105" s="5">
        <v>14531</v>
      </c>
      <c r="F105" s="5" t="str">
        <f t="shared" ca="1" si="3"/>
        <v>Weekly - 20/08/20 - YSX Unity</v>
      </c>
      <c r="G105" s="5">
        <v>568</v>
      </c>
      <c r="H105" s="21">
        <f>IF(E105=""," - ",(IFERROR(VLOOKUP(E105,Prices!A:B,2,0),1)))</f>
        <v>169</v>
      </c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</row>
    <row r="106" spans="1:25" x14ac:dyDescent="0.25">
      <c r="A106" s="3"/>
      <c r="B106" s="3"/>
      <c r="C106" s="18" t="str">
        <f t="shared" si="2"/>
        <v/>
      </c>
      <c r="D106" s="5">
        <v>104</v>
      </c>
      <c r="E106" s="5">
        <v>83572</v>
      </c>
      <c r="F106" s="5" t="str">
        <f t="shared" ca="1" si="3"/>
        <v>Weekly - 20/08/20 - YSX Unity</v>
      </c>
      <c r="G106" s="5">
        <v>185</v>
      </c>
      <c r="H106" s="21">
        <f>IF(E106=""," - ",(IFERROR(VLOOKUP(E106,Prices!A:B,2,0),1)))</f>
        <v>9</v>
      </c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</row>
    <row r="107" spans="1:25" x14ac:dyDescent="0.25">
      <c r="A107" s="3"/>
      <c r="B107" s="3"/>
      <c r="C107" s="18" t="str">
        <f t="shared" si="2"/>
        <v/>
      </c>
      <c r="D107" s="5">
        <v>105</v>
      </c>
      <c r="E107" s="5">
        <v>62380</v>
      </c>
      <c r="F107" s="5" t="str">
        <f t="shared" ca="1" si="3"/>
        <v>Weekly - 20/08/20 - YSX Unity</v>
      </c>
      <c r="G107" s="5">
        <v>768</v>
      </c>
      <c r="H107" s="21">
        <f>IF(E107=""," - ",(IFERROR(VLOOKUP(E107,Prices!A:B,2,0),1)))</f>
        <v>57</v>
      </c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</row>
    <row r="108" spans="1:25" x14ac:dyDescent="0.25">
      <c r="A108" s="3"/>
      <c r="B108" s="3"/>
      <c r="C108" s="18" t="str">
        <f t="shared" si="2"/>
        <v/>
      </c>
      <c r="D108" s="5">
        <v>106</v>
      </c>
      <c r="E108" s="5">
        <v>70268</v>
      </c>
      <c r="F108" s="5" t="str">
        <f t="shared" ca="1" si="3"/>
        <v>Weekly - 20/08/20 - YSX Unity</v>
      </c>
      <c r="G108" s="5">
        <v>372</v>
      </c>
      <c r="H108" s="21">
        <f>IF(E108=""," - ",(IFERROR(VLOOKUP(E108,Prices!A:B,2,0),1)))</f>
        <v>70</v>
      </c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</row>
    <row r="109" spans="1:25" x14ac:dyDescent="0.25">
      <c r="A109" s="3"/>
      <c r="B109" s="3"/>
      <c r="C109" s="18" t="str">
        <f t="shared" si="2"/>
        <v/>
      </c>
      <c r="D109" s="5">
        <v>107</v>
      </c>
      <c r="E109" s="5">
        <v>41142</v>
      </c>
      <c r="F109" s="5" t="str">
        <f t="shared" ca="1" si="3"/>
        <v>Weekly - 20/08/20 - YSX Unity</v>
      </c>
      <c r="G109" s="5">
        <v>1</v>
      </c>
      <c r="H109" s="21">
        <f>IF(E109=""," - ",(IFERROR(VLOOKUP(E109,Prices!A:B,2,0),1)))</f>
        <v>159</v>
      </c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</row>
    <row r="110" spans="1:25" x14ac:dyDescent="0.25">
      <c r="A110" s="3"/>
      <c r="B110" s="3"/>
      <c r="C110" s="18" t="str">
        <f t="shared" si="2"/>
        <v/>
      </c>
      <c r="D110" s="5">
        <v>108</v>
      </c>
      <c r="E110" s="5">
        <v>38658</v>
      </c>
      <c r="F110" s="5" t="str">
        <f t="shared" ca="1" si="3"/>
        <v>Weekly - 20/08/20 - YSX Unity</v>
      </c>
      <c r="G110" s="5">
        <v>485</v>
      </c>
      <c r="H110" s="21">
        <f>IF(E110=""," - ",(IFERROR(VLOOKUP(E110,Prices!A:B,2,0),1)))</f>
        <v>37</v>
      </c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</row>
    <row r="111" spans="1:25" x14ac:dyDescent="0.25">
      <c r="A111" s="3"/>
      <c r="B111" s="3"/>
      <c r="C111" s="18" t="str">
        <f t="shared" si="2"/>
        <v/>
      </c>
      <c r="D111" s="5">
        <v>109</v>
      </c>
      <c r="E111" s="5">
        <v>19843</v>
      </c>
      <c r="F111" s="5" t="str">
        <f t="shared" ca="1" si="3"/>
        <v>Weekly - 20/08/20 - YSX Unity</v>
      </c>
      <c r="G111" s="5">
        <v>813</v>
      </c>
      <c r="H111" s="21">
        <f>IF(E111=""," - ",(IFERROR(VLOOKUP(E111,Prices!A:B,2,0),1)))</f>
        <v>43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</row>
    <row r="112" spans="1:25" x14ac:dyDescent="0.25">
      <c r="A112" s="3"/>
      <c r="B112" s="3"/>
      <c r="C112" s="18" t="str">
        <f t="shared" si="2"/>
        <v/>
      </c>
      <c r="D112" s="5">
        <v>110</v>
      </c>
      <c r="E112" s="5">
        <v>95827</v>
      </c>
      <c r="F112" s="5" t="str">
        <f t="shared" ca="1" si="3"/>
        <v>Weekly - 20/08/20 - YSX Unity</v>
      </c>
      <c r="G112" s="5">
        <v>369</v>
      </c>
      <c r="H112" s="21">
        <f>IF(E112=""," - ",(IFERROR(VLOOKUP(E112,Prices!A:B,2,0),1)))</f>
        <v>42</v>
      </c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</row>
    <row r="113" spans="1:25" x14ac:dyDescent="0.25">
      <c r="A113" s="3"/>
      <c r="B113" s="3"/>
      <c r="C113" s="18" t="str">
        <f t="shared" si="2"/>
        <v/>
      </c>
      <c r="D113" s="5">
        <v>111</v>
      </c>
      <c r="E113" s="5">
        <v>37525</v>
      </c>
      <c r="F113" s="5" t="str">
        <f t="shared" ca="1" si="3"/>
        <v>Weekly - 20/08/20 - YSX Unity</v>
      </c>
      <c r="G113" s="5">
        <v>205</v>
      </c>
      <c r="H113" s="21">
        <f>IF(E113=""," - ",(IFERROR(VLOOKUP(E113,Prices!A:B,2,0),1)))</f>
        <v>140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</row>
    <row r="114" spans="1:25" x14ac:dyDescent="0.25">
      <c r="A114" s="3"/>
      <c r="B114" s="3"/>
      <c r="C114" s="18" t="str">
        <f t="shared" si="2"/>
        <v/>
      </c>
      <c r="D114" s="5">
        <v>112</v>
      </c>
      <c r="E114" s="5">
        <v>59830</v>
      </c>
      <c r="F114" s="5" t="str">
        <f t="shared" ca="1" si="3"/>
        <v>Weekly - 20/08/20 - YSX Unity</v>
      </c>
      <c r="G114" s="5">
        <v>313</v>
      </c>
      <c r="H114" s="21">
        <f>IF(E114=""," - ",(IFERROR(VLOOKUP(E114,Prices!A:B,2,0),1)))</f>
        <v>108</v>
      </c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</row>
    <row r="115" spans="1:25" x14ac:dyDescent="0.25">
      <c r="A115" s="3"/>
      <c r="B115" s="3"/>
      <c r="C115" s="18" t="str">
        <f t="shared" si="2"/>
        <v/>
      </c>
      <c r="D115" s="5">
        <v>113</v>
      </c>
      <c r="E115" s="5">
        <v>97272</v>
      </c>
      <c r="F115" s="5" t="str">
        <f t="shared" ca="1" si="3"/>
        <v>Weekly - 20/08/20 - YSX Unity</v>
      </c>
      <c r="G115" s="5">
        <v>649</v>
      </c>
      <c r="H115" s="21">
        <f>IF(E115=""," - ",(IFERROR(VLOOKUP(E115,Prices!A:B,2,0),1)))</f>
        <v>69</v>
      </c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</row>
    <row r="116" spans="1:25" x14ac:dyDescent="0.25">
      <c r="A116" s="3"/>
      <c r="B116" s="3"/>
      <c r="C116" s="18" t="str">
        <f t="shared" si="2"/>
        <v/>
      </c>
      <c r="D116" s="5">
        <v>114</v>
      </c>
      <c r="E116" s="5">
        <v>12553</v>
      </c>
      <c r="F116" s="5" t="str">
        <f t="shared" ca="1" si="3"/>
        <v>Weekly - 20/08/20 - YSX Unity</v>
      </c>
      <c r="G116" s="5">
        <v>905</v>
      </c>
      <c r="H116" s="21">
        <f>IF(E116=""," - ",(IFERROR(VLOOKUP(E116,Prices!A:B,2,0),1)))</f>
        <v>161</v>
      </c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</row>
    <row r="117" spans="1:25" x14ac:dyDescent="0.25">
      <c r="A117" s="3"/>
      <c r="B117" s="3"/>
      <c r="C117" s="18" t="str">
        <f t="shared" si="2"/>
        <v/>
      </c>
      <c r="D117" s="5">
        <v>115</v>
      </c>
      <c r="E117" s="5">
        <v>86818</v>
      </c>
      <c r="F117" s="5" t="str">
        <f t="shared" ca="1" si="3"/>
        <v>Weekly - 20/08/20 - YSX Unity</v>
      </c>
      <c r="G117" s="5">
        <v>146</v>
      </c>
      <c r="H117" s="21">
        <f>IF(E117=""," - ",(IFERROR(VLOOKUP(E117,Prices!A:B,2,0),1)))</f>
        <v>135</v>
      </c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</row>
    <row r="118" spans="1:25" x14ac:dyDescent="0.25">
      <c r="A118" s="3"/>
      <c r="B118" s="3"/>
      <c r="C118" s="18" t="str">
        <f t="shared" si="2"/>
        <v/>
      </c>
      <c r="D118" s="5">
        <v>116</v>
      </c>
      <c r="E118" s="5">
        <v>18160</v>
      </c>
      <c r="F118" s="5" t="str">
        <f t="shared" ca="1" si="3"/>
        <v>Weekly - 20/08/20 - YSX Unity</v>
      </c>
      <c r="G118" s="5">
        <v>721</v>
      </c>
      <c r="H118" s="21">
        <f>IF(E118=""," - ",(IFERROR(VLOOKUP(E118,Prices!A:B,2,0),1)))</f>
        <v>52</v>
      </c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</row>
    <row r="119" spans="1:25" x14ac:dyDescent="0.25">
      <c r="A119" s="3"/>
      <c r="B119" s="3"/>
      <c r="C119" s="18" t="str">
        <f t="shared" si="2"/>
        <v/>
      </c>
      <c r="D119" s="5">
        <v>117</v>
      </c>
      <c r="E119" s="5">
        <v>25854</v>
      </c>
      <c r="F119" s="5" t="str">
        <f t="shared" ca="1" si="3"/>
        <v>Weekly - 20/08/20 - YSX Unity</v>
      </c>
      <c r="G119" s="5">
        <v>260</v>
      </c>
      <c r="H119" s="21">
        <f>IF(E119=""," - ",(IFERROR(VLOOKUP(E119,Prices!A:B,2,0),1)))</f>
        <v>112</v>
      </c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</row>
    <row r="120" spans="1:25" x14ac:dyDescent="0.25">
      <c r="A120" s="3"/>
      <c r="B120" s="3"/>
      <c r="C120" s="18" t="str">
        <f t="shared" si="2"/>
        <v/>
      </c>
      <c r="D120" s="5">
        <v>118</v>
      </c>
      <c r="E120" s="5">
        <v>55010</v>
      </c>
      <c r="F120" s="5" t="str">
        <f t="shared" ca="1" si="3"/>
        <v>Weekly - 20/08/20 - YSX Unity</v>
      </c>
      <c r="G120" s="5">
        <v>944</v>
      </c>
      <c r="H120" s="21">
        <f>IF(E120=""," - ",(IFERROR(VLOOKUP(E120,Prices!A:B,2,0),1)))</f>
        <v>47</v>
      </c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</row>
    <row r="121" spans="1:25" x14ac:dyDescent="0.25">
      <c r="A121" s="3"/>
      <c r="B121" s="3"/>
      <c r="C121" s="18" t="str">
        <f t="shared" si="2"/>
        <v/>
      </c>
      <c r="D121" s="5">
        <v>119</v>
      </c>
      <c r="E121" s="5">
        <v>59425</v>
      </c>
      <c r="F121" s="5" t="str">
        <f t="shared" ca="1" si="3"/>
        <v>Weekly - 20/08/20 - YSX Unity</v>
      </c>
      <c r="G121" s="5">
        <v>867</v>
      </c>
      <c r="H121" s="21">
        <f>IF(E121=""," - ",(IFERROR(VLOOKUP(E121,Prices!A:B,2,0),1)))</f>
        <v>21</v>
      </c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</row>
    <row r="122" spans="1:25" x14ac:dyDescent="0.25">
      <c r="A122" s="3"/>
      <c r="B122" s="3"/>
      <c r="C122" s="18" t="str">
        <f t="shared" si="2"/>
        <v/>
      </c>
      <c r="D122" s="5">
        <v>120</v>
      </c>
      <c r="E122" s="5">
        <v>54837</v>
      </c>
      <c r="F122" s="5" t="str">
        <f t="shared" ca="1" si="3"/>
        <v>Weekly - 20/08/20 - YSX Unity</v>
      </c>
      <c r="G122" s="5">
        <v>563</v>
      </c>
      <c r="H122" s="21">
        <f>IF(E122=""," - ",(IFERROR(VLOOKUP(E122,Prices!A:B,2,0),1)))</f>
        <v>138</v>
      </c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</row>
    <row r="123" spans="1:25" x14ac:dyDescent="0.25">
      <c r="A123" s="3"/>
      <c r="B123" s="3"/>
      <c r="C123" s="18" t="str">
        <f t="shared" si="2"/>
        <v/>
      </c>
      <c r="D123" s="5">
        <v>121</v>
      </c>
      <c r="E123" s="5">
        <v>76829</v>
      </c>
      <c r="F123" s="5" t="str">
        <f t="shared" ca="1" si="3"/>
        <v>Weekly - 20/08/20 - YSX Unity</v>
      </c>
      <c r="G123" s="5">
        <v>471</v>
      </c>
      <c r="H123" s="21">
        <f>IF(E123=""," - ",(IFERROR(VLOOKUP(E123,Prices!A:B,2,0),1)))</f>
        <v>77</v>
      </c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</row>
    <row r="124" spans="1:25" x14ac:dyDescent="0.25">
      <c r="A124" s="3"/>
      <c r="B124" s="3"/>
      <c r="C124" s="18" t="str">
        <f t="shared" si="2"/>
        <v/>
      </c>
      <c r="D124" s="5">
        <v>122</v>
      </c>
      <c r="E124" s="5">
        <v>98493</v>
      </c>
      <c r="F124" s="5" t="str">
        <f t="shared" ca="1" si="3"/>
        <v>Weekly - 20/08/20 - YSX Unity</v>
      </c>
      <c r="G124" s="5">
        <v>983</v>
      </c>
      <c r="H124" s="21">
        <f>IF(E124=""," - ",(IFERROR(VLOOKUP(E124,Prices!A:B,2,0),1)))</f>
        <v>14</v>
      </c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</row>
    <row r="125" spans="1:25" x14ac:dyDescent="0.25">
      <c r="A125" s="3"/>
      <c r="B125" s="3"/>
      <c r="C125" s="18" t="str">
        <f t="shared" si="2"/>
        <v/>
      </c>
      <c r="D125" s="5">
        <v>123</v>
      </c>
      <c r="E125" s="5">
        <v>22767</v>
      </c>
      <c r="F125" s="5" t="str">
        <f t="shared" ca="1" si="3"/>
        <v>Weekly - 20/08/20 - YSX Unity</v>
      </c>
      <c r="G125" s="5">
        <v>697</v>
      </c>
      <c r="H125" s="21">
        <f>IF(E125=""," - ",(IFERROR(VLOOKUP(E125,Prices!A:B,2,0),1)))</f>
        <v>80</v>
      </c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</row>
    <row r="126" spans="1:25" x14ac:dyDescent="0.25">
      <c r="A126" s="3"/>
      <c r="B126" s="3"/>
      <c r="C126" s="18" t="str">
        <f t="shared" si="2"/>
        <v/>
      </c>
      <c r="D126" s="5">
        <v>124</v>
      </c>
      <c r="E126" s="5">
        <v>28857</v>
      </c>
      <c r="F126" s="5" t="str">
        <f t="shared" ca="1" si="3"/>
        <v>Weekly - 20/08/20 - YSX Unity</v>
      </c>
      <c r="G126" s="5">
        <v>139</v>
      </c>
      <c r="H126" s="21">
        <f>IF(E126=""," - ",(IFERROR(VLOOKUP(E126,Prices!A:B,2,0),1)))</f>
        <v>158</v>
      </c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</row>
    <row r="127" spans="1:25" x14ac:dyDescent="0.25">
      <c r="A127" s="3"/>
      <c r="B127" s="3"/>
      <c r="C127" s="18" t="str">
        <f t="shared" si="2"/>
        <v/>
      </c>
      <c r="D127" s="5">
        <v>125</v>
      </c>
      <c r="E127" s="5">
        <v>3863</v>
      </c>
      <c r="F127" s="5" t="str">
        <f t="shared" ca="1" si="3"/>
        <v>Weekly - 20/08/20 - YSX Unity</v>
      </c>
      <c r="G127" s="5">
        <v>818</v>
      </c>
      <c r="H127" s="21">
        <f>IF(E127=""," - ",(IFERROR(VLOOKUP(E127,Prices!A:B,2,0),1)))</f>
        <v>12</v>
      </c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</row>
    <row r="128" spans="1:25" x14ac:dyDescent="0.25">
      <c r="A128" s="3"/>
      <c r="B128" s="3"/>
      <c r="C128" s="18" t="str">
        <f t="shared" si="2"/>
        <v/>
      </c>
      <c r="D128" s="5">
        <v>126</v>
      </c>
      <c r="E128" s="5">
        <v>20330</v>
      </c>
      <c r="F128" s="5" t="str">
        <f t="shared" ca="1" si="3"/>
        <v>Weekly - 20/08/20 - YSX Unity</v>
      </c>
      <c r="G128" s="5">
        <v>631</v>
      </c>
      <c r="H128" s="21">
        <f>IF(E128=""," - ",(IFERROR(VLOOKUP(E128,Prices!A:B,2,0),1)))</f>
        <v>68</v>
      </c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</row>
    <row r="129" spans="1:25" x14ac:dyDescent="0.25">
      <c r="A129" s="3"/>
      <c r="B129" s="3"/>
      <c r="C129" s="18" t="str">
        <f t="shared" si="2"/>
        <v/>
      </c>
      <c r="D129" s="5">
        <v>127</v>
      </c>
      <c r="E129" s="5">
        <v>82125</v>
      </c>
      <c r="F129" s="5" t="str">
        <f t="shared" ca="1" si="3"/>
        <v>Weekly - 20/08/20 - YSX Unity</v>
      </c>
      <c r="G129" s="5">
        <v>162</v>
      </c>
      <c r="H129" s="21">
        <f>IF(E129=""," - ",(IFERROR(VLOOKUP(E129,Prices!A:B,2,0),1)))</f>
        <v>188</v>
      </c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</row>
    <row r="130" spans="1:25" x14ac:dyDescent="0.25">
      <c r="A130" s="3"/>
      <c r="B130" s="3"/>
      <c r="C130" s="18" t="str">
        <f t="shared" si="2"/>
        <v/>
      </c>
      <c r="D130" s="5">
        <v>128</v>
      </c>
      <c r="E130" s="5">
        <v>11791</v>
      </c>
      <c r="F130" s="5" t="str">
        <f t="shared" ca="1" si="3"/>
        <v>Weekly - 20/08/20 - YSX Unity</v>
      </c>
      <c r="G130" s="5">
        <v>347</v>
      </c>
      <c r="H130" s="21">
        <f>IF(E130=""," - ",(IFERROR(VLOOKUP(E130,Prices!A:B,2,0),1)))</f>
        <v>78</v>
      </c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</row>
    <row r="131" spans="1:25" x14ac:dyDescent="0.25">
      <c r="A131" s="3"/>
      <c r="B131" s="3"/>
      <c r="C131" s="18" t="str">
        <f t="shared" si="2"/>
        <v/>
      </c>
      <c r="D131" s="5">
        <v>129</v>
      </c>
      <c r="E131" s="5">
        <v>44930</v>
      </c>
      <c r="F131" s="5" t="str">
        <f t="shared" ca="1" si="3"/>
        <v>Weekly - 20/08/20 - YSX Unity</v>
      </c>
      <c r="G131" s="5">
        <v>937</v>
      </c>
      <c r="H131" s="21">
        <f>IF(E131=""," - ",(IFERROR(VLOOKUP(E131,Prices!A:B,2,0),1)))</f>
        <v>107</v>
      </c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</row>
    <row r="132" spans="1:25" x14ac:dyDescent="0.25">
      <c r="A132" s="3"/>
      <c r="B132" s="3"/>
      <c r="C132" s="18" t="str">
        <f t="shared" ref="C132:C195" si="4">IFERROR(IF(MATCH($B$3,D:D)-2=D132,"à",""),"")</f>
        <v/>
      </c>
      <c r="D132" s="5">
        <v>130</v>
      </c>
      <c r="E132" s="5">
        <v>93648</v>
      </c>
      <c r="F132" s="5" t="str">
        <f t="shared" ref="F132:F160" ca="1" si="5">_xlfn.CONCAT($K$7, " - ", TEXT(TODAY(),"AA/MM/DD"), " - ",$K$4)</f>
        <v>Weekly - 20/08/20 - YSX Unity</v>
      </c>
      <c r="G132" s="5">
        <v>937</v>
      </c>
      <c r="H132" s="21">
        <f>IF(E132=""," - ",(IFERROR(VLOOKUP(E132,Prices!A:B,2,0),1)))</f>
        <v>30</v>
      </c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</row>
    <row r="133" spans="1:25" x14ac:dyDescent="0.25">
      <c r="A133" s="3"/>
      <c r="B133" s="3"/>
      <c r="C133" s="18" t="str">
        <f t="shared" si="4"/>
        <v/>
      </c>
      <c r="D133" s="5">
        <v>131</v>
      </c>
      <c r="E133" s="5">
        <v>96404</v>
      </c>
      <c r="F133" s="5" t="str">
        <f t="shared" ca="1" si="5"/>
        <v>Weekly - 20/08/20 - YSX Unity</v>
      </c>
      <c r="G133" s="5">
        <v>734</v>
      </c>
      <c r="H133" s="21">
        <f>IF(E133=""," - ",(IFERROR(VLOOKUP(E133,Prices!A:B,2,0),1)))</f>
        <v>195</v>
      </c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</row>
    <row r="134" spans="1:25" x14ac:dyDescent="0.25">
      <c r="A134" s="3"/>
      <c r="B134" s="3"/>
      <c r="C134" s="18" t="str">
        <f t="shared" si="4"/>
        <v/>
      </c>
      <c r="D134" s="5">
        <v>132</v>
      </c>
      <c r="E134" s="5">
        <v>80865</v>
      </c>
      <c r="F134" s="5" t="str">
        <f t="shared" ca="1" si="5"/>
        <v>Weekly - 20/08/20 - YSX Unity</v>
      </c>
      <c r="G134" s="5">
        <v>576</v>
      </c>
      <c r="H134" s="21">
        <f>IF(E134=""," - ",(IFERROR(VLOOKUP(E134,Prices!A:B,2,0),1)))</f>
        <v>116</v>
      </c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</row>
    <row r="135" spans="1:25" x14ac:dyDescent="0.25">
      <c r="A135" s="3"/>
      <c r="B135" s="3"/>
      <c r="C135" s="18" t="str">
        <f t="shared" si="4"/>
        <v/>
      </c>
      <c r="D135" s="5">
        <v>133</v>
      </c>
      <c r="E135" s="5">
        <v>5327</v>
      </c>
      <c r="F135" s="5" t="str">
        <f t="shared" ca="1" si="5"/>
        <v>Weekly - 20/08/20 - YSX Unity</v>
      </c>
      <c r="G135" s="5">
        <v>474</v>
      </c>
      <c r="H135" s="21">
        <f>IF(E135=""," - ",(IFERROR(VLOOKUP(E135,Prices!A:B,2,0),1)))</f>
        <v>141</v>
      </c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</row>
    <row r="136" spans="1:25" x14ac:dyDescent="0.25">
      <c r="A136" s="3"/>
      <c r="B136" s="3"/>
      <c r="C136" s="18" t="str">
        <f t="shared" si="4"/>
        <v/>
      </c>
      <c r="D136" s="5">
        <v>134</v>
      </c>
      <c r="E136" s="5">
        <v>53034</v>
      </c>
      <c r="F136" s="5" t="str">
        <f t="shared" ca="1" si="5"/>
        <v>Weekly - 20/08/20 - YSX Unity</v>
      </c>
      <c r="G136" s="5">
        <v>108</v>
      </c>
      <c r="H136" s="21">
        <f>IF(E136=""," - ",(IFERROR(VLOOKUP(E136,Prices!A:B,2,0),1)))</f>
        <v>198</v>
      </c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</row>
    <row r="137" spans="1:25" x14ac:dyDescent="0.25">
      <c r="A137" s="3"/>
      <c r="B137" s="3"/>
      <c r="C137" s="18" t="str">
        <f t="shared" si="4"/>
        <v/>
      </c>
      <c r="D137" s="5">
        <v>135</v>
      </c>
      <c r="E137" s="5">
        <v>82560</v>
      </c>
      <c r="F137" s="5" t="str">
        <f t="shared" ca="1" si="5"/>
        <v>Weekly - 20/08/20 - YSX Unity</v>
      </c>
      <c r="G137" s="5">
        <v>885</v>
      </c>
      <c r="H137" s="21">
        <f>IF(E137=""," - ",(IFERROR(VLOOKUP(E137,Prices!A:B,2,0),1)))</f>
        <v>39</v>
      </c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</row>
    <row r="138" spans="1:25" x14ac:dyDescent="0.25">
      <c r="A138" s="3"/>
      <c r="B138" s="3"/>
      <c r="C138" s="18" t="str">
        <f t="shared" si="4"/>
        <v/>
      </c>
      <c r="D138" s="5">
        <v>136</v>
      </c>
      <c r="E138" s="5">
        <v>71157</v>
      </c>
      <c r="F138" s="5" t="str">
        <f t="shared" ca="1" si="5"/>
        <v>Weekly - 20/08/20 - YSX Unity</v>
      </c>
      <c r="G138" s="5">
        <v>361</v>
      </c>
      <c r="H138" s="21">
        <f>IF(E138=""," - ",(IFERROR(VLOOKUP(E138,Prices!A:B,2,0),1)))</f>
        <v>107</v>
      </c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</row>
    <row r="139" spans="1:25" x14ac:dyDescent="0.25">
      <c r="A139" s="3"/>
      <c r="B139" s="3"/>
      <c r="C139" s="18" t="str">
        <f t="shared" si="4"/>
        <v/>
      </c>
      <c r="D139" s="5">
        <v>137</v>
      </c>
      <c r="E139" s="5">
        <v>95382</v>
      </c>
      <c r="F139" s="5" t="str">
        <f t="shared" ca="1" si="5"/>
        <v>Weekly - 20/08/20 - YSX Unity</v>
      </c>
      <c r="G139" s="5">
        <v>479</v>
      </c>
      <c r="H139" s="21">
        <f>IF(E139=""," - ",(IFERROR(VLOOKUP(E139,Prices!A:B,2,0),1)))</f>
        <v>5</v>
      </c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</row>
    <row r="140" spans="1:25" x14ac:dyDescent="0.25">
      <c r="A140" s="3"/>
      <c r="B140" s="3"/>
      <c r="C140" s="18" t="str">
        <f t="shared" si="4"/>
        <v/>
      </c>
      <c r="D140" s="5">
        <v>138</v>
      </c>
      <c r="E140" s="5">
        <v>88113</v>
      </c>
      <c r="F140" s="5" t="str">
        <f t="shared" ca="1" si="5"/>
        <v>Weekly - 20/08/20 - YSX Unity</v>
      </c>
      <c r="G140" s="5">
        <v>353</v>
      </c>
      <c r="H140" s="21">
        <f>IF(E140=""," - ",(IFERROR(VLOOKUP(E140,Prices!A:B,2,0),1)))</f>
        <v>52</v>
      </c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</row>
    <row r="141" spans="1:25" x14ac:dyDescent="0.25">
      <c r="A141" s="3"/>
      <c r="B141" s="3"/>
      <c r="C141" s="18" t="str">
        <f t="shared" si="4"/>
        <v/>
      </c>
      <c r="D141" s="5">
        <v>139</v>
      </c>
      <c r="E141" s="5">
        <v>46698</v>
      </c>
      <c r="F141" s="5" t="str">
        <f t="shared" ca="1" si="5"/>
        <v>Weekly - 20/08/20 - YSX Unity</v>
      </c>
      <c r="G141" s="5">
        <v>50</v>
      </c>
      <c r="H141" s="21">
        <f>IF(E141=""," - ",(IFERROR(VLOOKUP(E141,Prices!A:B,2,0),1)))</f>
        <v>46</v>
      </c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</row>
    <row r="142" spans="1:25" x14ac:dyDescent="0.25">
      <c r="A142" s="3"/>
      <c r="B142" s="3"/>
      <c r="C142" s="18" t="str">
        <f t="shared" si="4"/>
        <v/>
      </c>
      <c r="D142" s="5">
        <v>140</v>
      </c>
      <c r="E142" s="5">
        <v>86689</v>
      </c>
      <c r="F142" s="5" t="str">
        <f t="shared" ca="1" si="5"/>
        <v>Weekly - 20/08/20 - YSX Unity</v>
      </c>
      <c r="G142" s="5">
        <v>24</v>
      </c>
      <c r="H142" s="21">
        <f>IF(E142=""," - ",(IFERROR(VLOOKUP(E142,Prices!A:B,2,0),1)))</f>
        <v>114</v>
      </c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</row>
    <row r="143" spans="1:25" x14ac:dyDescent="0.25">
      <c r="A143" s="3"/>
      <c r="B143" s="3"/>
      <c r="C143" s="18" t="str">
        <f t="shared" si="4"/>
        <v/>
      </c>
      <c r="D143" s="5">
        <v>141</v>
      </c>
      <c r="E143" s="5">
        <v>90500</v>
      </c>
      <c r="F143" s="5" t="str">
        <f t="shared" ca="1" si="5"/>
        <v>Weekly - 20/08/20 - YSX Unity</v>
      </c>
      <c r="G143" s="5">
        <v>68</v>
      </c>
      <c r="H143" s="21">
        <f>IF(E143=""," - ",(IFERROR(VLOOKUP(E143,Prices!A:B,2,0),1)))</f>
        <v>123</v>
      </c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</row>
    <row r="144" spans="1:25" x14ac:dyDescent="0.25">
      <c r="A144" s="3"/>
      <c r="B144" s="3"/>
      <c r="C144" s="18" t="str">
        <f t="shared" si="4"/>
        <v/>
      </c>
      <c r="D144" s="5">
        <v>142</v>
      </c>
      <c r="E144" s="5">
        <v>43345</v>
      </c>
      <c r="F144" s="5" t="str">
        <f t="shared" ca="1" si="5"/>
        <v>Weekly - 20/08/20 - YSX Unity</v>
      </c>
      <c r="G144" s="5">
        <v>312</v>
      </c>
      <c r="H144" s="21">
        <f>IF(E144=""," - ",(IFERROR(VLOOKUP(E144,Prices!A:B,2,0),1)))</f>
        <v>184</v>
      </c>
    </row>
    <row r="145" spans="1:8" x14ac:dyDescent="0.25">
      <c r="A145" s="3"/>
      <c r="B145" s="3"/>
      <c r="C145" s="18" t="str">
        <f t="shared" si="4"/>
        <v/>
      </c>
      <c r="D145" s="5">
        <v>143</v>
      </c>
      <c r="E145" s="5">
        <v>88869</v>
      </c>
      <c r="F145" s="5" t="str">
        <f t="shared" ca="1" si="5"/>
        <v>Weekly - 20/08/20 - YSX Unity</v>
      </c>
      <c r="G145" s="5">
        <v>233</v>
      </c>
      <c r="H145" s="21">
        <f>IF(E145=""," - ",(IFERROR(VLOOKUP(E145,Prices!A:B,2,0),1)))</f>
        <v>53</v>
      </c>
    </row>
    <row r="146" spans="1:8" x14ac:dyDescent="0.25">
      <c r="A146" s="3"/>
      <c r="B146" s="3"/>
      <c r="C146" s="18" t="str">
        <f t="shared" si="4"/>
        <v/>
      </c>
      <c r="D146" s="5">
        <v>144</v>
      </c>
      <c r="E146" s="5">
        <v>69267</v>
      </c>
      <c r="F146" s="5" t="str">
        <f t="shared" ca="1" si="5"/>
        <v>Weekly - 20/08/20 - YSX Unity</v>
      </c>
      <c r="G146" s="5">
        <v>501</v>
      </c>
      <c r="H146" s="21">
        <f>IF(E146=""," - ",(IFERROR(VLOOKUP(E146,Prices!A:B,2,0),1)))</f>
        <v>11</v>
      </c>
    </row>
    <row r="147" spans="1:8" x14ac:dyDescent="0.25">
      <c r="A147" s="3"/>
      <c r="B147" s="3"/>
      <c r="C147" s="18" t="str">
        <f t="shared" si="4"/>
        <v/>
      </c>
      <c r="D147" s="5">
        <v>145</v>
      </c>
      <c r="E147" s="5">
        <v>85174</v>
      </c>
      <c r="F147" s="5" t="str">
        <f t="shared" ca="1" si="5"/>
        <v>Weekly - 20/08/20 - YSX Unity</v>
      </c>
      <c r="G147" s="5">
        <v>148</v>
      </c>
      <c r="H147" s="21">
        <f>IF(E147=""," - ",(IFERROR(VLOOKUP(E147,Prices!A:B,2,0),1)))</f>
        <v>109</v>
      </c>
    </row>
    <row r="148" spans="1:8" x14ac:dyDescent="0.25">
      <c r="A148" s="3"/>
      <c r="B148" s="3"/>
      <c r="C148" s="18" t="str">
        <f t="shared" si="4"/>
        <v/>
      </c>
      <c r="D148" s="5">
        <v>146</v>
      </c>
      <c r="E148" s="5">
        <v>5519</v>
      </c>
      <c r="F148" s="5" t="str">
        <f t="shared" ca="1" si="5"/>
        <v>Weekly - 20/08/20 - YSX Unity</v>
      </c>
      <c r="G148" s="5">
        <v>835</v>
      </c>
      <c r="H148" s="21">
        <f>IF(E148=""," - ",(IFERROR(VLOOKUP(E148,Prices!A:B,2,0),1)))</f>
        <v>105</v>
      </c>
    </row>
    <row r="149" spans="1:8" x14ac:dyDescent="0.25">
      <c r="A149" s="3"/>
      <c r="B149" s="3"/>
      <c r="C149" s="18" t="str">
        <f t="shared" si="4"/>
        <v/>
      </c>
      <c r="D149" s="5">
        <v>147</v>
      </c>
      <c r="E149" s="5">
        <v>69983</v>
      </c>
      <c r="F149" s="5" t="str">
        <f t="shared" ca="1" si="5"/>
        <v>Weekly - 20/08/20 - YSX Unity</v>
      </c>
      <c r="G149" s="5">
        <v>457</v>
      </c>
      <c r="H149" s="21">
        <f>IF(E149=""," - ",(IFERROR(VLOOKUP(E149,Prices!A:B,2,0),1)))</f>
        <v>176</v>
      </c>
    </row>
    <row r="150" spans="1:8" x14ac:dyDescent="0.25">
      <c r="A150" s="3"/>
      <c r="B150" s="3"/>
      <c r="C150" s="18" t="str">
        <f t="shared" si="4"/>
        <v/>
      </c>
      <c r="D150" s="5">
        <v>148</v>
      </c>
      <c r="E150" s="5">
        <v>84219</v>
      </c>
      <c r="F150" s="5" t="str">
        <f t="shared" ca="1" si="5"/>
        <v>Weekly - 20/08/20 - YSX Unity</v>
      </c>
      <c r="G150" s="5">
        <v>176</v>
      </c>
      <c r="H150" s="21">
        <f>IF(E150=""," - ",(IFERROR(VLOOKUP(E150,Prices!A:B,2,0),1)))</f>
        <v>141</v>
      </c>
    </row>
    <row r="151" spans="1:8" x14ac:dyDescent="0.25">
      <c r="A151" s="3"/>
      <c r="B151" s="3"/>
      <c r="C151" s="18" t="str">
        <f t="shared" si="4"/>
        <v/>
      </c>
      <c r="D151" s="5">
        <v>149</v>
      </c>
      <c r="E151" s="5">
        <v>22472</v>
      </c>
      <c r="F151" s="5" t="str">
        <f t="shared" ca="1" si="5"/>
        <v>Weekly - 20/08/20 - YSX Unity</v>
      </c>
      <c r="G151" s="5">
        <v>474</v>
      </c>
      <c r="H151" s="21">
        <f>IF(E151=""," - ",(IFERROR(VLOOKUP(E151,Prices!A:B,2,0),1)))</f>
        <v>77</v>
      </c>
    </row>
    <row r="152" spans="1:8" x14ac:dyDescent="0.25">
      <c r="A152" s="3"/>
      <c r="B152" s="3"/>
      <c r="C152" s="18" t="str">
        <f t="shared" si="4"/>
        <v/>
      </c>
      <c r="D152" s="5">
        <v>150</v>
      </c>
      <c r="E152" s="5">
        <v>40465</v>
      </c>
      <c r="F152" s="5" t="str">
        <f t="shared" ca="1" si="5"/>
        <v>Weekly - 20/08/20 - YSX Unity</v>
      </c>
      <c r="G152" s="5">
        <v>566</v>
      </c>
      <c r="H152" s="21">
        <f>IF(E152=""," - ",(IFERROR(VLOOKUP(E152,Prices!A:B,2,0),1)))</f>
        <v>97</v>
      </c>
    </row>
    <row r="153" spans="1:8" x14ac:dyDescent="0.25">
      <c r="A153" s="3"/>
      <c r="B153" s="3"/>
      <c r="C153" s="18" t="str">
        <f t="shared" si="4"/>
        <v/>
      </c>
      <c r="D153" s="5">
        <v>151</v>
      </c>
      <c r="E153" s="5">
        <v>96283</v>
      </c>
      <c r="F153" s="5" t="str">
        <f t="shared" ca="1" si="5"/>
        <v>Weekly - 20/08/20 - YSX Unity</v>
      </c>
      <c r="G153" s="5">
        <v>509</v>
      </c>
      <c r="H153" s="21">
        <f>IF(E153=""," - ",(IFERROR(VLOOKUP(E153,Prices!A:B,2,0),1)))</f>
        <v>121</v>
      </c>
    </row>
    <row r="154" spans="1:8" x14ac:dyDescent="0.25">
      <c r="A154" s="3"/>
      <c r="B154" s="3"/>
      <c r="C154" s="18" t="str">
        <f t="shared" si="4"/>
        <v/>
      </c>
      <c r="D154" s="5">
        <v>152</v>
      </c>
      <c r="E154" s="5">
        <v>96791</v>
      </c>
      <c r="F154" s="5" t="str">
        <f t="shared" ca="1" si="5"/>
        <v>Weekly - 20/08/20 - YSX Unity</v>
      </c>
      <c r="G154" s="5">
        <v>660</v>
      </c>
      <c r="H154" s="21">
        <f>IF(E154=""," - ",(IFERROR(VLOOKUP(E154,Prices!A:B,2,0),1)))</f>
        <v>46</v>
      </c>
    </row>
    <row r="155" spans="1:8" x14ac:dyDescent="0.25">
      <c r="A155" s="3"/>
      <c r="B155" s="3"/>
      <c r="C155" s="18" t="str">
        <f t="shared" si="4"/>
        <v/>
      </c>
      <c r="D155" s="5">
        <v>153</v>
      </c>
      <c r="E155" s="5">
        <v>60473</v>
      </c>
      <c r="F155" s="5" t="str">
        <f t="shared" ca="1" si="5"/>
        <v>Weekly - 20/08/20 - YSX Unity</v>
      </c>
      <c r="G155" s="5">
        <v>490</v>
      </c>
      <c r="H155" s="21">
        <f>IF(E155=""," - ",(IFERROR(VLOOKUP(E155,Prices!A:B,2,0),1)))</f>
        <v>122</v>
      </c>
    </row>
    <row r="156" spans="1:8" x14ac:dyDescent="0.25">
      <c r="A156" s="3"/>
      <c r="B156" s="3"/>
      <c r="C156" s="18" t="str">
        <f t="shared" si="4"/>
        <v/>
      </c>
      <c r="D156" s="5">
        <v>154</v>
      </c>
      <c r="E156" s="5">
        <v>24125</v>
      </c>
      <c r="F156" s="5" t="str">
        <f t="shared" ca="1" si="5"/>
        <v>Weekly - 20/08/20 - YSX Unity</v>
      </c>
      <c r="G156" s="5">
        <v>171</v>
      </c>
      <c r="H156" s="21">
        <f>IF(E156=""," - ",(IFERROR(VLOOKUP(E156,Prices!A:B,2,0),1)))</f>
        <v>3</v>
      </c>
    </row>
    <row r="157" spans="1:8" x14ac:dyDescent="0.25">
      <c r="A157" s="3"/>
      <c r="B157" s="3"/>
      <c r="C157" s="18" t="str">
        <f t="shared" si="4"/>
        <v/>
      </c>
      <c r="D157" s="5">
        <v>155</v>
      </c>
      <c r="E157" s="5">
        <v>40111</v>
      </c>
      <c r="F157" s="5" t="str">
        <f t="shared" ca="1" si="5"/>
        <v>Weekly - 20/08/20 - YSX Unity</v>
      </c>
      <c r="G157" s="5">
        <v>696</v>
      </c>
      <c r="H157" s="21">
        <f>IF(E157=""," - ",(IFERROR(VLOOKUP(E157,Prices!A:B,2,0),1)))</f>
        <v>76</v>
      </c>
    </row>
    <row r="158" spans="1:8" x14ac:dyDescent="0.25">
      <c r="A158" s="3"/>
      <c r="B158" s="3"/>
      <c r="C158" s="18" t="str">
        <f t="shared" si="4"/>
        <v/>
      </c>
      <c r="D158" s="5">
        <v>156</v>
      </c>
      <c r="E158" s="5">
        <v>268</v>
      </c>
      <c r="F158" s="5" t="str">
        <f t="shared" ca="1" si="5"/>
        <v>Weekly - 20/08/20 - YSX Unity</v>
      </c>
      <c r="G158" s="5">
        <v>147</v>
      </c>
      <c r="H158" s="21">
        <f>IF(E158=""," - ",(IFERROR(VLOOKUP(E158,Prices!A:B,2,0),1)))</f>
        <v>107</v>
      </c>
    </row>
    <row r="159" spans="1:8" x14ac:dyDescent="0.25">
      <c r="A159" s="3"/>
      <c r="B159" s="3"/>
      <c r="C159" s="18" t="str">
        <f t="shared" si="4"/>
        <v/>
      </c>
      <c r="D159" s="5">
        <v>157</v>
      </c>
      <c r="E159" s="5">
        <v>95434</v>
      </c>
      <c r="F159" s="5" t="str">
        <f t="shared" ca="1" si="5"/>
        <v>Weekly - 20/08/20 - YSX Unity</v>
      </c>
      <c r="G159" s="5">
        <v>409</v>
      </c>
      <c r="H159" s="21">
        <f>IF(E159=""," - ",(IFERROR(VLOOKUP(E159,Prices!A:B,2,0),1)))</f>
        <v>57</v>
      </c>
    </row>
    <row r="160" spans="1:8" x14ac:dyDescent="0.25">
      <c r="A160" s="3"/>
      <c r="B160" s="3"/>
      <c r="C160" s="18" t="str">
        <f t="shared" si="4"/>
        <v/>
      </c>
      <c r="D160" s="5">
        <v>158</v>
      </c>
      <c r="E160" s="5">
        <v>24844</v>
      </c>
      <c r="F160" s="5" t="str">
        <f t="shared" ca="1" si="5"/>
        <v>Weekly - 20/08/20 - YSX Unity</v>
      </c>
      <c r="G160" s="5">
        <v>511</v>
      </c>
      <c r="H160" s="21">
        <f>IF(E160=""," - ",(IFERROR(VLOOKUP(E160,Prices!A:B,2,0),1)))</f>
        <v>145</v>
      </c>
    </row>
    <row r="161" spans="1:8" x14ac:dyDescent="0.25">
      <c r="A161" s="3"/>
      <c r="B161" s="3"/>
      <c r="C161" s="18" t="str">
        <f t="shared" si="4"/>
        <v/>
      </c>
      <c r="D161" s="5">
        <v>159</v>
      </c>
      <c r="E161" s="5"/>
      <c r="F161" s="5"/>
      <c r="G161" s="5"/>
      <c r="H161" s="21" t="str">
        <f>IF(E161=""," - ",(IFERROR(VLOOKUP(E161,Prices!A:B,2,0),1)))</f>
        <v xml:space="preserve"> - </v>
      </c>
    </row>
    <row r="162" spans="1:8" x14ac:dyDescent="0.25">
      <c r="A162" s="3"/>
      <c r="B162" s="3"/>
      <c r="C162" s="18" t="str">
        <f t="shared" si="4"/>
        <v/>
      </c>
      <c r="D162" s="5">
        <v>160</v>
      </c>
      <c r="E162" s="5"/>
      <c r="F162" s="5"/>
      <c r="G162" s="5"/>
      <c r="H162" s="21" t="str">
        <f>IF(E162=""," - ",(IFERROR(VLOOKUP(E162,Prices!A:B,2,0),1)))</f>
        <v xml:space="preserve"> - </v>
      </c>
    </row>
    <row r="163" spans="1:8" x14ac:dyDescent="0.25">
      <c r="A163" s="3"/>
      <c r="B163" s="3"/>
      <c r="C163" s="18" t="str">
        <f t="shared" si="4"/>
        <v/>
      </c>
      <c r="D163" s="5">
        <v>161</v>
      </c>
      <c r="E163" s="5"/>
      <c r="F163" s="5"/>
      <c r="G163" s="5"/>
      <c r="H163" s="21" t="str">
        <f>IF(E163=""," - ",(IFERROR(VLOOKUP(E163,Prices!A:B,2,0),1)))</f>
        <v xml:space="preserve"> - </v>
      </c>
    </row>
    <row r="164" spans="1:8" x14ac:dyDescent="0.25">
      <c r="A164" s="3"/>
      <c r="B164" s="3"/>
      <c r="C164" s="18" t="str">
        <f t="shared" si="4"/>
        <v/>
      </c>
      <c r="D164" s="5">
        <v>162</v>
      </c>
      <c r="E164" s="5"/>
      <c r="F164" s="5"/>
      <c r="G164" s="5"/>
      <c r="H164" s="21" t="str">
        <f>IF(E164=""," - ",(IFERROR(VLOOKUP(E164,Prices!A:B,2,0),1)))</f>
        <v xml:space="preserve"> - </v>
      </c>
    </row>
    <row r="165" spans="1:8" x14ac:dyDescent="0.25">
      <c r="A165" s="3"/>
      <c r="B165" s="3"/>
      <c r="C165" s="18" t="str">
        <f t="shared" si="4"/>
        <v/>
      </c>
      <c r="D165" s="5">
        <v>163</v>
      </c>
      <c r="E165" s="5"/>
      <c r="F165" s="5"/>
      <c r="G165" s="5"/>
      <c r="H165" s="21" t="str">
        <f>IF(E165=""," - ",(IFERROR(VLOOKUP(E165,Prices!A:B,2,0),1)))</f>
        <v xml:space="preserve"> - </v>
      </c>
    </row>
    <row r="166" spans="1:8" x14ac:dyDescent="0.25">
      <c r="A166" s="3"/>
      <c r="B166" s="3"/>
      <c r="C166" s="18" t="str">
        <f t="shared" si="4"/>
        <v/>
      </c>
      <c r="D166" s="5">
        <v>164</v>
      </c>
      <c r="E166" s="5"/>
      <c r="F166" s="5"/>
      <c r="G166" s="5"/>
      <c r="H166" s="21" t="str">
        <f>IF(E166=""," - ",(IFERROR(VLOOKUP(E166,Prices!A:B,2,0),1)))</f>
        <v xml:space="preserve"> - </v>
      </c>
    </row>
    <row r="167" spans="1:8" x14ac:dyDescent="0.25">
      <c r="A167" s="3"/>
      <c r="B167" s="3"/>
      <c r="C167" s="18" t="str">
        <f t="shared" si="4"/>
        <v/>
      </c>
      <c r="D167" s="5">
        <v>165</v>
      </c>
      <c r="E167" s="5"/>
      <c r="F167" s="5"/>
      <c r="G167" s="5"/>
      <c r="H167" s="21" t="str">
        <f>IF(E167=""," - ",(IFERROR(VLOOKUP(E167,Prices!A:B,2,0),1)))</f>
        <v xml:space="preserve"> - </v>
      </c>
    </row>
    <row r="168" spans="1:8" x14ac:dyDescent="0.25">
      <c r="A168" s="3"/>
      <c r="B168" s="3"/>
      <c r="C168" s="18" t="str">
        <f t="shared" si="4"/>
        <v/>
      </c>
      <c r="D168" s="5">
        <v>166</v>
      </c>
      <c r="E168" s="5"/>
      <c r="F168" s="5"/>
      <c r="G168" s="5"/>
      <c r="H168" s="21" t="str">
        <f>IF(E168=""," - ",(IFERROR(VLOOKUP(E168,Prices!A:B,2,0),1)))</f>
        <v xml:space="preserve"> - </v>
      </c>
    </row>
    <row r="169" spans="1:8" x14ac:dyDescent="0.25">
      <c r="A169" s="3"/>
      <c r="B169" s="3"/>
      <c r="C169" s="18" t="str">
        <f t="shared" si="4"/>
        <v/>
      </c>
      <c r="D169" s="5">
        <v>167</v>
      </c>
      <c r="E169" s="5"/>
      <c r="F169" s="5"/>
      <c r="G169" s="5"/>
      <c r="H169" s="21" t="str">
        <f>IF(E169=""," - ",(IFERROR(VLOOKUP(E169,Prices!A:B,2,0),1)))</f>
        <v xml:space="preserve"> - </v>
      </c>
    </row>
    <row r="170" spans="1:8" x14ac:dyDescent="0.25">
      <c r="A170" s="3"/>
      <c r="B170" s="3"/>
      <c r="C170" s="18" t="str">
        <f t="shared" si="4"/>
        <v/>
      </c>
      <c r="D170" s="5">
        <v>168</v>
      </c>
      <c r="E170" s="5"/>
      <c r="F170" s="5"/>
      <c r="G170" s="5"/>
      <c r="H170" s="21" t="str">
        <f>IF(E170=""," - ",(IFERROR(VLOOKUP(E170,Prices!A:B,2,0),1)))</f>
        <v xml:space="preserve"> - </v>
      </c>
    </row>
    <row r="171" spans="1:8" x14ac:dyDescent="0.25">
      <c r="A171" s="3"/>
      <c r="B171" s="3"/>
      <c r="C171" s="18" t="str">
        <f t="shared" si="4"/>
        <v/>
      </c>
      <c r="D171" s="5">
        <v>169</v>
      </c>
      <c r="E171" s="5"/>
      <c r="F171" s="5"/>
      <c r="G171" s="5"/>
      <c r="H171" s="21" t="str">
        <f>IF(E171=""," - ",(IFERROR(VLOOKUP(E171,Prices!A:B,2,0),1)))</f>
        <v xml:space="preserve"> - </v>
      </c>
    </row>
    <row r="172" spans="1:8" x14ac:dyDescent="0.25">
      <c r="A172" s="3"/>
      <c r="B172" s="3"/>
      <c r="C172" s="18" t="str">
        <f t="shared" si="4"/>
        <v/>
      </c>
      <c r="D172" s="5">
        <v>170</v>
      </c>
      <c r="E172" s="5"/>
      <c r="F172" s="5"/>
      <c r="G172" s="5"/>
      <c r="H172" s="21" t="str">
        <f>IF(E172=""," - ",(IFERROR(VLOOKUP(E172,Prices!A:B,2,0),1)))</f>
        <v xml:space="preserve"> - </v>
      </c>
    </row>
    <row r="173" spans="1:8" x14ac:dyDescent="0.25">
      <c r="A173" s="3"/>
      <c r="B173" s="3"/>
      <c r="C173" s="18" t="str">
        <f t="shared" si="4"/>
        <v/>
      </c>
      <c r="D173" s="5">
        <v>171</v>
      </c>
      <c r="E173" s="5"/>
      <c r="F173" s="5"/>
      <c r="G173" s="5"/>
      <c r="H173" s="21" t="str">
        <f>IF(E173=""," - ",(IFERROR(VLOOKUP(E173,Prices!A:B,2,0),1)))</f>
        <v xml:space="preserve"> - </v>
      </c>
    </row>
    <row r="174" spans="1:8" x14ac:dyDescent="0.25">
      <c r="A174" s="3"/>
      <c r="B174" s="3"/>
      <c r="C174" s="18" t="str">
        <f t="shared" si="4"/>
        <v/>
      </c>
      <c r="D174" s="5">
        <v>172</v>
      </c>
      <c r="E174" s="5"/>
      <c r="F174" s="5"/>
      <c r="G174" s="5"/>
      <c r="H174" s="21" t="str">
        <f>IF(E174=""," - ",(IFERROR(VLOOKUP(E174,Prices!A:B,2,0),1)))</f>
        <v xml:space="preserve"> - </v>
      </c>
    </row>
    <row r="175" spans="1:8" x14ac:dyDescent="0.25">
      <c r="A175" s="3"/>
      <c r="B175" s="3"/>
      <c r="C175" s="18" t="str">
        <f t="shared" si="4"/>
        <v/>
      </c>
      <c r="D175" s="5">
        <v>173</v>
      </c>
      <c r="E175" s="5"/>
      <c r="F175" s="5"/>
      <c r="G175" s="5"/>
      <c r="H175" s="21" t="str">
        <f>IF(E175=""," - ",(IFERROR(VLOOKUP(E175,Prices!A:B,2,0),1)))</f>
        <v xml:space="preserve"> - </v>
      </c>
    </row>
    <row r="176" spans="1:8" x14ac:dyDescent="0.25">
      <c r="A176" s="3"/>
      <c r="B176" s="3"/>
      <c r="C176" s="18" t="str">
        <f t="shared" si="4"/>
        <v/>
      </c>
      <c r="D176" s="5">
        <v>174</v>
      </c>
      <c r="E176" s="5"/>
      <c r="F176" s="5"/>
      <c r="G176" s="5"/>
      <c r="H176" s="21" t="str">
        <f>IF(E176=""," - ",(IFERROR(VLOOKUP(E176,Prices!A:B,2,0),1)))</f>
        <v xml:space="preserve"> - </v>
      </c>
    </row>
    <row r="177" spans="1:8" x14ac:dyDescent="0.25">
      <c r="A177" s="3"/>
      <c r="B177" s="3"/>
      <c r="C177" s="18" t="str">
        <f t="shared" si="4"/>
        <v/>
      </c>
      <c r="D177" s="5">
        <v>175</v>
      </c>
      <c r="E177" s="5"/>
      <c r="F177" s="5"/>
      <c r="G177" s="5"/>
      <c r="H177" s="21" t="str">
        <f>IF(E177=""," - ",(IFERROR(VLOOKUP(E177,Prices!A:B,2,0),1)))</f>
        <v xml:space="preserve"> - </v>
      </c>
    </row>
    <row r="178" spans="1:8" x14ac:dyDescent="0.25">
      <c r="A178" s="3"/>
      <c r="B178" s="3"/>
      <c r="C178" s="18" t="str">
        <f t="shared" si="4"/>
        <v/>
      </c>
      <c r="D178" s="5">
        <v>176</v>
      </c>
      <c r="E178" s="5"/>
      <c r="F178" s="5"/>
      <c r="G178" s="5"/>
      <c r="H178" s="21" t="str">
        <f>IF(E178=""," - ",(IFERROR(VLOOKUP(E178,Prices!A:B,2,0),1)))</f>
        <v xml:space="preserve"> - </v>
      </c>
    </row>
    <row r="179" spans="1:8" x14ac:dyDescent="0.25">
      <c r="A179" s="3"/>
      <c r="B179" s="3"/>
      <c r="C179" s="18" t="str">
        <f t="shared" si="4"/>
        <v/>
      </c>
      <c r="D179" s="5">
        <v>177</v>
      </c>
      <c r="E179" s="5"/>
      <c r="F179" s="5"/>
      <c r="G179" s="5"/>
      <c r="H179" s="21" t="str">
        <f>IF(E179=""," - ",(IFERROR(VLOOKUP(E179,Prices!A:B,2,0),1)))</f>
        <v xml:space="preserve"> - </v>
      </c>
    </row>
    <row r="180" spans="1:8" x14ac:dyDescent="0.25">
      <c r="A180" s="3"/>
      <c r="B180" s="3"/>
      <c r="C180" s="18" t="str">
        <f t="shared" si="4"/>
        <v/>
      </c>
      <c r="D180" s="5">
        <v>178</v>
      </c>
      <c r="E180" s="5"/>
      <c r="F180" s="5"/>
      <c r="G180" s="5"/>
      <c r="H180" s="21" t="str">
        <f>IF(E180=""," - ",(IFERROR(VLOOKUP(E180,Prices!A:B,2,0),1)))</f>
        <v xml:space="preserve"> - </v>
      </c>
    </row>
    <row r="181" spans="1:8" x14ac:dyDescent="0.25">
      <c r="A181" s="3"/>
      <c r="B181" s="3"/>
      <c r="C181" s="18" t="str">
        <f t="shared" si="4"/>
        <v/>
      </c>
      <c r="D181" s="5">
        <v>179</v>
      </c>
      <c r="E181" s="5"/>
      <c r="F181" s="5"/>
      <c r="G181" s="5"/>
      <c r="H181" s="21" t="str">
        <f>IF(E181=""," - ",(IFERROR(VLOOKUP(E181,Prices!A:B,2,0),1)))</f>
        <v xml:space="preserve"> - </v>
      </c>
    </row>
    <row r="182" spans="1:8" x14ac:dyDescent="0.25">
      <c r="A182" s="3"/>
      <c r="B182" s="3"/>
      <c r="C182" s="18" t="str">
        <f t="shared" si="4"/>
        <v/>
      </c>
      <c r="D182" s="5">
        <v>180</v>
      </c>
      <c r="E182" s="5"/>
      <c r="F182" s="5"/>
      <c r="G182" s="5"/>
      <c r="H182" s="21" t="str">
        <f>IF(E182=""," - ",(IFERROR(VLOOKUP(E182,Prices!A:B,2,0),1)))</f>
        <v xml:space="preserve"> - </v>
      </c>
    </row>
    <row r="183" spans="1:8" x14ac:dyDescent="0.25">
      <c r="A183" s="3"/>
      <c r="B183" s="3"/>
      <c r="C183" s="18" t="str">
        <f t="shared" si="4"/>
        <v/>
      </c>
      <c r="D183" s="5">
        <v>181</v>
      </c>
      <c r="E183" s="5"/>
      <c r="F183" s="5"/>
      <c r="G183" s="5"/>
      <c r="H183" s="21" t="str">
        <f>IF(E183=""," - ",(IFERROR(VLOOKUP(E183,Prices!A:B,2,0),1)))</f>
        <v xml:space="preserve"> - </v>
      </c>
    </row>
    <row r="184" spans="1:8" x14ac:dyDescent="0.25">
      <c r="A184" s="3"/>
      <c r="B184" s="3"/>
      <c r="C184" s="18" t="str">
        <f t="shared" si="4"/>
        <v/>
      </c>
      <c r="D184" s="5">
        <v>182</v>
      </c>
      <c r="E184" s="5"/>
      <c r="F184" s="5"/>
      <c r="G184" s="5"/>
      <c r="H184" s="21" t="str">
        <f>IF(E184=""," - ",(IFERROR(VLOOKUP(E184,Prices!A:B,2,0),1)))</f>
        <v xml:space="preserve"> - </v>
      </c>
    </row>
    <row r="185" spans="1:8" x14ac:dyDescent="0.25">
      <c r="A185" s="3"/>
      <c r="B185" s="3"/>
      <c r="C185" s="18" t="str">
        <f t="shared" si="4"/>
        <v/>
      </c>
      <c r="D185" s="5">
        <v>183</v>
      </c>
      <c r="E185" s="5"/>
      <c r="F185" s="5"/>
      <c r="G185" s="5"/>
      <c r="H185" s="21" t="str">
        <f>IF(E185=""," - ",(IFERROR(VLOOKUP(E185,Prices!A:B,2,0),1)))</f>
        <v xml:space="preserve"> - </v>
      </c>
    </row>
    <row r="186" spans="1:8" x14ac:dyDescent="0.25">
      <c r="A186" s="3"/>
      <c r="B186" s="3"/>
      <c r="C186" s="18" t="str">
        <f t="shared" si="4"/>
        <v/>
      </c>
      <c r="D186" s="5">
        <v>184</v>
      </c>
      <c r="E186" s="5"/>
      <c r="F186" s="5"/>
      <c r="G186" s="5"/>
      <c r="H186" s="21" t="str">
        <f>IF(E186=""," - ",(IFERROR(VLOOKUP(E186,Prices!A:B,2,0),1)))</f>
        <v xml:space="preserve"> - </v>
      </c>
    </row>
    <row r="187" spans="1:8" x14ac:dyDescent="0.25">
      <c r="A187" s="3"/>
      <c r="B187" s="3"/>
      <c r="C187" s="18" t="str">
        <f t="shared" si="4"/>
        <v/>
      </c>
      <c r="D187" s="5">
        <v>185</v>
      </c>
      <c r="E187" s="5"/>
      <c r="F187" s="5"/>
      <c r="G187" s="5"/>
      <c r="H187" s="21" t="str">
        <f>IF(E187=""," - ",(IFERROR(VLOOKUP(E187,Prices!A:B,2,0),1)))</f>
        <v xml:space="preserve"> - </v>
      </c>
    </row>
    <row r="188" spans="1:8" x14ac:dyDescent="0.25">
      <c r="A188" s="3"/>
      <c r="B188" s="3"/>
      <c r="C188" s="18" t="str">
        <f t="shared" si="4"/>
        <v/>
      </c>
      <c r="D188" s="5">
        <v>186</v>
      </c>
      <c r="E188" s="5"/>
      <c r="F188" s="5"/>
      <c r="G188" s="5"/>
      <c r="H188" s="21" t="str">
        <f>IF(E188=""," - ",(IFERROR(VLOOKUP(E188,Prices!A:B,2,0),1)))</f>
        <v xml:space="preserve"> - </v>
      </c>
    </row>
    <row r="189" spans="1:8" x14ac:dyDescent="0.25">
      <c r="A189" s="3"/>
      <c r="B189" s="3"/>
      <c r="C189" s="18" t="str">
        <f t="shared" si="4"/>
        <v/>
      </c>
      <c r="D189" s="5">
        <v>187</v>
      </c>
      <c r="E189" s="5"/>
      <c r="F189" s="5"/>
      <c r="G189" s="5"/>
      <c r="H189" s="21" t="str">
        <f>IF(E189=""," - ",(IFERROR(VLOOKUP(E189,Prices!A:B,2,0),1)))</f>
        <v xml:space="preserve"> - </v>
      </c>
    </row>
    <row r="190" spans="1:8" x14ac:dyDescent="0.25">
      <c r="A190" s="3"/>
      <c r="B190" s="3"/>
      <c r="C190" s="18" t="str">
        <f t="shared" si="4"/>
        <v/>
      </c>
      <c r="D190" s="5">
        <v>188</v>
      </c>
      <c r="E190" s="5"/>
      <c r="F190" s="5"/>
      <c r="G190" s="5"/>
      <c r="H190" s="21" t="str">
        <f>IF(E190=""," - ",(IFERROR(VLOOKUP(E190,Prices!A:B,2,0),1)))</f>
        <v xml:space="preserve"> - </v>
      </c>
    </row>
    <row r="191" spans="1:8" x14ac:dyDescent="0.25">
      <c r="A191" s="3"/>
      <c r="B191" s="3"/>
      <c r="C191" s="18" t="str">
        <f t="shared" si="4"/>
        <v/>
      </c>
      <c r="D191" s="5">
        <v>189</v>
      </c>
      <c r="E191" s="5"/>
      <c r="F191" s="5"/>
      <c r="G191" s="5"/>
      <c r="H191" s="21" t="str">
        <f>IF(E191=""," - ",(IFERROR(VLOOKUP(E191,Prices!A:B,2,0),1)))</f>
        <v xml:space="preserve"> - </v>
      </c>
    </row>
    <row r="192" spans="1:8" x14ac:dyDescent="0.25">
      <c r="A192" s="3"/>
      <c r="B192" s="3"/>
      <c r="C192" s="18" t="str">
        <f t="shared" si="4"/>
        <v/>
      </c>
      <c r="D192" s="5">
        <v>190</v>
      </c>
      <c r="E192" s="5"/>
      <c r="F192" s="5"/>
      <c r="G192" s="5"/>
      <c r="H192" s="21" t="str">
        <f>IF(E192=""," - ",(IFERROR(VLOOKUP(E192,Prices!A:B,2,0),1)))</f>
        <v xml:space="preserve"> - </v>
      </c>
    </row>
    <row r="193" spans="1:8" x14ac:dyDescent="0.25">
      <c r="A193" s="3"/>
      <c r="B193" s="3"/>
      <c r="C193" s="18" t="str">
        <f t="shared" si="4"/>
        <v/>
      </c>
      <c r="D193" s="5">
        <v>191</v>
      </c>
      <c r="E193" s="5"/>
      <c r="F193" s="5"/>
      <c r="G193" s="5"/>
      <c r="H193" s="21" t="str">
        <f>IF(E193=""," - ",(IFERROR(VLOOKUP(E193,Prices!A:B,2,0),1)))</f>
        <v xml:space="preserve"> - </v>
      </c>
    </row>
    <row r="194" spans="1:8" x14ac:dyDescent="0.25">
      <c r="A194" s="3"/>
      <c r="B194" s="3"/>
      <c r="C194" s="18" t="str">
        <f t="shared" si="4"/>
        <v/>
      </c>
      <c r="D194" s="5">
        <v>192</v>
      </c>
      <c r="E194" s="5"/>
      <c r="F194" s="5"/>
      <c r="G194" s="5"/>
      <c r="H194" s="21" t="str">
        <f>IF(E194=""," - ",(IFERROR(VLOOKUP(E194,Prices!A:B,2,0),1)))</f>
        <v xml:space="preserve"> - </v>
      </c>
    </row>
    <row r="195" spans="1:8" x14ac:dyDescent="0.25">
      <c r="A195" s="3"/>
      <c r="B195" s="3"/>
      <c r="C195" s="18" t="str">
        <f t="shared" si="4"/>
        <v/>
      </c>
      <c r="D195" s="5">
        <v>193</v>
      </c>
      <c r="E195" s="5"/>
      <c r="F195" s="5"/>
      <c r="G195" s="5"/>
      <c r="H195" s="21" t="str">
        <f>IF(E195=""," - ",(IFERROR(VLOOKUP(E195,Prices!A:B,2,0),1)))</f>
        <v xml:space="preserve"> - </v>
      </c>
    </row>
    <row r="196" spans="1:8" x14ac:dyDescent="0.25">
      <c r="A196" s="3"/>
      <c r="B196" s="3"/>
      <c r="C196" s="18" t="str">
        <f t="shared" ref="C196:C259" si="6">IFERROR(IF(MATCH($B$3,D:D)-2=D196,"à",""),"")</f>
        <v/>
      </c>
      <c r="D196" s="5">
        <v>194</v>
      </c>
      <c r="E196" s="5"/>
      <c r="F196" s="5"/>
      <c r="G196" s="5"/>
      <c r="H196" s="21" t="str">
        <f>IF(E196=""," - ",(IFERROR(VLOOKUP(E196,Prices!A:B,2,0),1)))</f>
        <v xml:space="preserve"> - </v>
      </c>
    </row>
    <row r="197" spans="1:8" x14ac:dyDescent="0.25">
      <c r="A197" s="3"/>
      <c r="B197" s="3"/>
      <c r="C197" s="18" t="str">
        <f t="shared" si="6"/>
        <v/>
      </c>
      <c r="D197" s="5">
        <v>195</v>
      </c>
      <c r="E197" s="5"/>
      <c r="F197" s="5"/>
      <c r="G197" s="5"/>
      <c r="H197" s="21" t="str">
        <f>IF(E197=""," - ",(IFERROR(VLOOKUP(E197,Prices!A:B,2,0),1)))</f>
        <v xml:space="preserve"> - </v>
      </c>
    </row>
    <row r="198" spans="1:8" x14ac:dyDescent="0.25">
      <c r="A198" s="3"/>
      <c r="B198" s="3"/>
      <c r="C198" s="18" t="str">
        <f t="shared" si="6"/>
        <v/>
      </c>
      <c r="D198" s="5">
        <v>196</v>
      </c>
      <c r="E198" s="5"/>
      <c r="F198" s="5"/>
      <c r="G198" s="5"/>
      <c r="H198" s="21" t="str">
        <f>IF(E198=""," - ",(IFERROR(VLOOKUP(E198,Prices!A:B,2,0),1)))</f>
        <v xml:space="preserve"> - </v>
      </c>
    </row>
    <row r="199" spans="1:8" x14ac:dyDescent="0.25">
      <c r="A199" s="3"/>
      <c r="B199" s="3"/>
      <c r="C199" s="18" t="str">
        <f t="shared" si="6"/>
        <v/>
      </c>
      <c r="D199" s="5">
        <v>197</v>
      </c>
      <c r="E199" s="5"/>
      <c r="F199" s="5"/>
      <c r="G199" s="5"/>
      <c r="H199" s="21" t="str">
        <f>IF(E199=""," - ",(IFERROR(VLOOKUP(E199,Prices!A:B,2,0),1)))</f>
        <v xml:space="preserve"> - </v>
      </c>
    </row>
    <row r="200" spans="1:8" x14ac:dyDescent="0.25">
      <c r="A200" s="3"/>
      <c r="B200" s="3"/>
      <c r="C200" s="18" t="str">
        <f t="shared" si="6"/>
        <v/>
      </c>
      <c r="D200" s="5">
        <v>198</v>
      </c>
      <c r="E200" s="5"/>
      <c r="F200" s="5"/>
      <c r="G200" s="5"/>
      <c r="H200" s="21" t="str">
        <f>IF(E200=""," - ",(IFERROR(VLOOKUP(E200,Prices!A:B,2,0),1)))</f>
        <v xml:space="preserve"> - </v>
      </c>
    </row>
    <row r="201" spans="1:8" x14ac:dyDescent="0.25">
      <c r="A201" s="3"/>
      <c r="B201" s="3"/>
      <c r="C201" s="18" t="str">
        <f t="shared" si="6"/>
        <v/>
      </c>
      <c r="D201" s="5">
        <v>199</v>
      </c>
      <c r="E201" s="5"/>
      <c r="F201" s="5"/>
      <c r="G201" s="5"/>
      <c r="H201" s="21" t="str">
        <f>IF(E201=""," - ",(IFERROR(VLOOKUP(E201,Prices!A:B,2,0),1)))</f>
        <v xml:space="preserve"> - </v>
      </c>
    </row>
    <row r="202" spans="1:8" x14ac:dyDescent="0.25">
      <c r="A202" s="3"/>
      <c r="B202" s="3"/>
      <c r="C202" s="18" t="str">
        <f t="shared" si="6"/>
        <v/>
      </c>
      <c r="D202" s="5">
        <v>200</v>
      </c>
      <c r="E202" s="5"/>
      <c r="F202" s="5"/>
      <c r="G202" s="5"/>
      <c r="H202" s="21" t="str">
        <f>IF(E202=""," - ",(IFERROR(VLOOKUP(E202,Prices!A:B,2,0),1)))</f>
        <v xml:space="preserve"> - </v>
      </c>
    </row>
    <row r="203" spans="1:8" x14ac:dyDescent="0.25">
      <c r="A203" s="3"/>
      <c r="B203" s="3"/>
      <c r="C203" s="18" t="str">
        <f t="shared" si="6"/>
        <v/>
      </c>
      <c r="D203" s="5">
        <v>201</v>
      </c>
      <c r="E203" s="5"/>
      <c r="F203" s="5"/>
      <c r="G203" s="5"/>
      <c r="H203" s="21" t="str">
        <f>IF(E203=""," - ",(IFERROR(VLOOKUP(E203,Prices!A:B,2,0),1)))</f>
        <v xml:space="preserve"> - </v>
      </c>
    </row>
    <row r="204" spans="1:8" x14ac:dyDescent="0.25">
      <c r="A204" s="3"/>
      <c r="B204" s="3"/>
      <c r="C204" s="18" t="str">
        <f t="shared" si="6"/>
        <v/>
      </c>
      <c r="D204" s="5">
        <v>202</v>
      </c>
      <c r="E204" s="5"/>
      <c r="F204" s="5"/>
      <c r="G204" s="5"/>
      <c r="H204" s="21" t="str">
        <f>IF(E204=""," - ",(IFERROR(VLOOKUP(E204,Prices!A:B,2,0),1)))</f>
        <v xml:space="preserve"> - </v>
      </c>
    </row>
    <row r="205" spans="1:8" x14ac:dyDescent="0.25">
      <c r="A205" s="3"/>
      <c r="B205" s="3"/>
      <c r="C205" s="18" t="str">
        <f t="shared" si="6"/>
        <v/>
      </c>
      <c r="D205" s="5">
        <v>203</v>
      </c>
      <c r="E205" s="5"/>
      <c r="F205" s="5"/>
      <c r="G205" s="5"/>
      <c r="H205" s="21" t="str">
        <f>IF(E205=""," - ",(IFERROR(VLOOKUP(E205,Prices!A:B,2,0),1)))</f>
        <v xml:space="preserve"> - </v>
      </c>
    </row>
    <row r="206" spans="1:8" x14ac:dyDescent="0.25">
      <c r="A206" s="3"/>
      <c r="B206" s="3"/>
      <c r="C206" s="18" t="str">
        <f t="shared" si="6"/>
        <v/>
      </c>
      <c r="D206" s="5">
        <v>204</v>
      </c>
      <c r="E206" s="5"/>
      <c r="F206" s="5"/>
      <c r="G206" s="5"/>
      <c r="H206" s="21" t="str">
        <f>IF(E206=""," - ",(IFERROR(VLOOKUP(E206,Prices!A:B,2,0),1)))</f>
        <v xml:space="preserve"> - </v>
      </c>
    </row>
    <row r="207" spans="1:8" x14ac:dyDescent="0.25">
      <c r="A207" s="3"/>
      <c r="B207" s="3"/>
      <c r="C207" s="18" t="str">
        <f t="shared" si="6"/>
        <v/>
      </c>
      <c r="D207" s="5">
        <v>205</v>
      </c>
      <c r="E207" s="5"/>
      <c r="F207" s="5"/>
      <c r="G207" s="5"/>
      <c r="H207" s="21" t="str">
        <f>IF(E207=""," - ",(IFERROR(VLOOKUP(E207,Prices!A:B,2,0),1)))</f>
        <v xml:space="preserve"> - </v>
      </c>
    </row>
    <row r="208" spans="1:8" x14ac:dyDescent="0.25">
      <c r="A208" s="3"/>
      <c r="B208" s="3"/>
      <c r="C208" s="18" t="str">
        <f t="shared" si="6"/>
        <v/>
      </c>
      <c r="D208" s="5">
        <v>206</v>
      </c>
      <c r="E208" s="5"/>
      <c r="F208" s="5"/>
      <c r="G208" s="5"/>
      <c r="H208" s="21" t="str">
        <f>IF(E208=""," - ",(IFERROR(VLOOKUP(E208,Prices!A:B,2,0),1)))</f>
        <v xml:space="preserve"> - </v>
      </c>
    </row>
    <row r="209" spans="1:8" x14ac:dyDescent="0.25">
      <c r="A209" s="3"/>
      <c r="B209" s="3"/>
      <c r="C209" s="18" t="str">
        <f t="shared" si="6"/>
        <v/>
      </c>
      <c r="D209" s="5">
        <v>207</v>
      </c>
      <c r="E209" s="5"/>
      <c r="F209" s="5"/>
      <c r="G209" s="5"/>
      <c r="H209" s="21" t="str">
        <f>IF(E209=""," - ",(IFERROR(VLOOKUP(E209,Prices!A:B,2,0),1)))</f>
        <v xml:space="preserve"> - </v>
      </c>
    </row>
    <row r="210" spans="1:8" x14ac:dyDescent="0.25">
      <c r="A210" s="3"/>
      <c r="B210" s="3"/>
      <c r="C210" s="18" t="str">
        <f t="shared" si="6"/>
        <v/>
      </c>
      <c r="D210" s="5">
        <v>208</v>
      </c>
      <c r="E210" s="5"/>
      <c r="F210" s="5"/>
      <c r="G210" s="5"/>
      <c r="H210" s="21" t="str">
        <f>IF(E210=""," - ",(IFERROR(VLOOKUP(E210,Prices!A:B,2,0),1)))</f>
        <v xml:space="preserve"> - </v>
      </c>
    </row>
    <row r="211" spans="1:8" x14ac:dyDescent="0.25">
      <c r="A211" s="3"/>
      <c r="B211" s="3"/>
      <c r="C211" s="18" t="str">
        <f t="shared" si="6"/>
        <v/>
      </c>
      <c r="D211" s="5">
        <v>209</v>
      </c>
      <c r="E211" s="5"/>
      <c r="F211" s="5"/>
      <c r="G211" s="5"/>
      <c r="H211" s="21" t="str">
        <f>IF(E211=""," - ",(IFERROR(VLOOKUP(E211,Prices!A:B,2,0),1)))</f>
        <v xml:space="preserve"> - </v>
      </c>
    </row>
    <row r="212" spans="1:8" x14ac:dyDescent="0.25">
      <c r="A212" s="3"/>
      <c r="B212" s="3"/>
      <c r="C212" s="18" t="str">
        <f t="shared" si="6"/>
        <v/>
      </c>
      <c r="D212" s="5">
        <v>210</v>
      </c>
      <c r="E212" s="5"/>
      <c r="F212" s="5"/>
      <c r="G212" s="5"/>
      <c r="H212" s="21" t="str">
        <f>IF(E212=""," - ",(IFERROR(VLOOKUP(E212,Prices!A:B,2,0),1)))</f>
        <v xml:space="preserve"> - </v>
      </c>
    </row>
    <row r="213" spans="1:8" x14ac:dyDescent="0.25">
      <c r="A213" s="3"/>
      <c r="B213" s="3"/>
      <c r="C213" s="18" t="str">
        <f t="shared" si="6"/>
        <v/>
      </c>
      <c r="D213" s="5">
        <v>211</v>
      </c>
      <c r="E213" s="5"/>
      <c r="F213" s="5"/>
      <c r="G213" s="5"/>
      <c r="H213" s="21" t="str">
        <f>IF(E213=""," - ",(IFERROR(VLOOKUP(E213,Prices!A:B,2,0),1)))</f>
        <v xml:space="preserve"> - </v>
      </c>
    </row>
    <row r="214" spans="1:8" x14ac:dyDescent="0.25">
      <c r="A214" s="3"/>
      <c r="B214" s="3"/>
      <c r="C214" s="18" t="str">
        <f t="shared" si="6"/>
        <v/>
      </c>
      <c r="D214" s="5">
        <v>212</v>
      </c>
      <c r="E214" s="5"/>
      <c r="F214" s="5"/>
      <c r="G214" s="5"/>
      <c r="H214" s="21" t="str">
        <f>IF(E214=""," - ",(IFERROR(VLOOKUP(E214,Prices!A:B,2,0),1)))</f>
        <v xml:space="preserve"> - </v>
      </c>
    </row>
    <row r="215" spans="1:8" x14ac:dyDescent="0.25">
      <c r="A215" s="3"/>
      <c r="B215" s="3"/>
      <c r="C215" s="18" t="str">
        <f t="shared" si="6"/>
        <v/>
      </c>
      <c r="D215" s="5">
        <v>213</v>
      </c>
      <c r="E215" s="5"/>
      <c r="F215" s="5"/>
      <c r="G215" s="5"/>
      <c r="H215" s="21" t="str">
        <f>IF(E215=""," - ",(IFERROR(VLOOKUP(E215,Prices!A:B,2,0),1)))</f>
        <v xml:space="preserve"> - </v>
      </c>
    </row>
    <row r="216" spans="1:8" x14ac:dyDescent="0.25">
      <c r="A216" s="3"/>
      <c r="B216" s="3"/>
      <c r="C216" s="18" t="str">
        <f t="shared" si="6"/>
        <v/>
      </c>
      <c r="D216" s="5">
        <v>214</v>
      </c>
      <c r="E216" s="5"/>
      <c r="F216" s="5"/>
      <c r="G216" s="5"/>
      <c r="H216" s="21" t="str">
        <f>IF(E216=""," - ",(IFERROR(VLOOKUP(E216,Prices!A:B,2,0),1)))</f>
        <v xml:space="preserve"> - </v>
      </c>
    </row>
    <row r="217" spans="1:8" x14ac:dyDescent="0.25">
      <c r="A217" s="3"/>
      <c r="B217" s="3"/>
      <c r="C217" s="18" t="str">
        <f t="shared" si="6"/>
        <v/>
      </c>
      <c r="D217" s="5">
        <v>215</v>
      </c>
      <c r="E217" s="5"/>
      <c r="F217" s="5"/>
      <c r="G217" s="5"/>
      <c r="H217" s="21" t="str">
        <f>IF(E217=""," - ",(IFERROR(VLOOKUP(E217,Prices!A:B,2,0),1)))</f>
        <v xml:space="preserve"> - </v>
      </c>
    </row>
    <row r="218" spans="1:8" x14ac:dyDescent="0.25">
      <c r="A218" s="3"/>
      <c r="B218" s="3"/>
      <c r="C218" s="18" t="str">
        <f t="shared" si="6"/>
        <v/>
      </c>
      <c r="D218" s="5">
        <v>216</v>
      </c>
      <c r="E218" s="5"/>
      <c r="F218" s="5"/>
      <c r="G218" s="5"/>
      <c r="H218" s="21" t="str">
        <f>IF(E218=""," - ",(IFERROR(VLOOKUP(E218,Prices!A:B,2,0),1)))</f>
        <v xml:space="preserve"> - </v>
      </c>
    </row>
    <row r="219" spans="1:8" x14ac:dyDescent="0.25">
      <c r="A219" s="3"/>
      <c r="B219" s="3"/>
      <c r="C219" s="18" t="str">
        <f t="shared" si="6"/>
        <v/>
      </c>
      <c r="D219" s="5">
        <v>217</v>
      </c>
      <c r="E219" s="5"/>
      <c r="F219" s="5"/>
      <c r="G219" s="5"/>
      <c r="H219" s="21" t="str">
        <f>IF(E219=""," - ",(IFERROR(VLOOKUP(E219,Prices!A:B,2,0),1)))</f>
        <v xml:space="preserve"> - </v>
      </c>
    </row>
    <row r="220" spans="1:8" x14ac:dyDescent="0.25">
      <c r="A220" s="3"/>
      <c r="B220" s="3"/>
      <c r="C220" s="18" t="str">
        <f t="shared" si="6"/>
        <v/>
      </c>
      <c r="D220" s="5">
        <v>218</v>
      </c>
      <c r="E220" s="5"/>
      <c r="F220" s="5"/>
      <c r="G220" s="5"/>
      <c r="H220" s="21" t="str">
        <f>IF(E220=""," - ",(IFERROR(VLOOKUP(E220,Prices!A:B,2,0),1)))</f>
        <v xml:space="preserve"> - </v>
      </c>
    </row>
    <row r="221" spans="1:8" x14ac:dyDescent="0.25">
      <c r="A221" s="3"/>
      <c r="B221" s="3"/>
      <c r="C221" s="18" t="str">
        <f t="shared" si="6"/>
        <v/>
      </c>
      <c r="D221" s="5">
        <v>219</v>
      </c>
      <c r="E221" s="5"/>
      <c r="F221" s="5"/>
      <c r="G221" s="5"/>
      <c r="H221" s="21" t="str">
        <f>IF(E221=""," - ",(IFERROR(VLOOKUP(E221,Prices!A:B,2,0),1)))</f>
        <v xml:space="preserve"> - </v>
      </c>
    </row>
    <row r="222" spans="1:8" x14ac:dyDescent="0.25">
      <c r="A222" s="3"/>
      <c r="B222" s="3"/>
      <c r="C222" s="18" t="str">
        <f t="shared" si="6"/>
        <v/>
      </c>
      <c r="D222" s="5">
        <v>220</v>
      </c>
      <c r="E222" s="5"/>
      <c r="F222" s="5"/>
      <c r="G222" s="5"/>
      <c r="H222" s="21" t="str">
        <f>IF(E222=""," - ",(IFERROR(VLOOKUP(E222,Prices!A:B,2,0),1)))</f>
        <v xml:space="preserve"> - </v>
      </c>
    </row>
    <row r="223" spans="1:8" x14ac:dyDescent="0.25">
      <c r="A223" s="3"/>
      <c r="B223" s="3"/>
      <c r="C223" s="18" t="str">
        <f t="shared" si="6"/>
        <v/>
      </c>
      <c r="D223" s="5">
        <v>221</v>
      </c>
      <c r="E223" s="5"/>
      <c r="F223" s="5"/>
      <c r="G223" s="5"/>
      <c r="H223" s="21" t="str">
        <f>IF(E223=""," - ",(IFERROR(VLOOKUP(E223,Prices!A:B,2,0),1)))</f>
        <v xml:space="preserve"> - </v>
      </c>
    </row>
    <row r="224" spans="1:8" x14ac:dyDescent="0.25">
      <c r="A224" s="3"/>
      <c r="B224" s="3"/>
      <c r="C224" s="18" t="str">
        <f t="shared" si="6"/>
        <v/>
      </c>
      <c r="D224" s="5">
        <v>222</v>
      </c>
      <c r="E224" s="5"/>
      <c r="F224" s="5"/>
      <c r="G224" s="5"/>
      <c r="H224" s="21" t="str">
        <f>IF(E224=""," - ",(IFERROR(VLOOKUP(E224,Prices!A:B,2,0),1)))</f>
        <v xml:space="preserve"> - </v>
      </c>
    </row>
    <row r="225" spans="1:8" x14ac:dyDescent="0.25">
      <c r="A225" s="3"/>
      <c r="B225" s="3"/>
      <c r="C225" s="18" t="str">
        <f t="shared" si="6"/>
        <v/>
      </c>
      <c r="D225" s="5">
        <v>223</v>
      </c>
      <c r="E225" s="5"/>
      <c r="F225" s="5"/>
      <c r="G225" s="5"/>
      <c r="H225" s="21" t="str">
        <f>IF(E225=""," - ",(IFERROR(VLOOKUP(E225,Prices!A:B,2,0),1)))</f>
        <v xml:space="preserve"> - </v>
      </c>
    </row>
    <row r="226" spans="1:8" x14ac:dyDescent="0.25">
      <c r="A226" s="3"/>
      <c r="B226" s="3"/>
      <c r="C226" s="18" t="str">
        <f t="shared" si="6"/>
        <v/>
      </c>
      <c r="D226" s="5">
        <v>224</v>
      </c>
      <c r="E226" s="5"/>
      <c r="F226" s="5"/>
      <c r="G226" s="5"/>
      <c r="H226" s="21" t="str">
        <f>IF(E226=""," - ",(IFERROR(VLOOKUP(E226,Prices!A:B,2,0),1)))</f>
        <v xml:space="preserve"> - </v>
      </c>
    </row>
    <row r="227" spans="1:8" x14ac:dyDescent="0.25">
      <c r="A227" s="3"/>
      <c r="B227" s="3"/>
      <c r="C227" s="18" t="str">
        <f t="shared" si="6"/>
        <v/>
      </c>
      <c r="D227" s="5">
        <v>225</v>
      </c>
      <c r="E227" s="5"/>
      <c r="F227" s="5"/>
      <c r="G227" s="5"/>
      <c r="H227" s="21" t="str">
        <f>IF(E227=""," - ",(IFERROR(VLOOKUP(E227,Prices!A:B,2,0),1)))</f>
        <v xml:space="preserve"> - </v>
      </c>
    </row>
    <row r="228" spans="1:8" x14ac:dyDescent="0.25">
      <c r="A228" s="3"/>
      <c r="B228" s="3"/>
      <c r="C228" s="18" t="str">
        <f t="shared" si="6"/>
        <v/>
      </c>
      <c r="D228" s="5">
        <v>226</v>
      </c>
      <c r="E228" s="5"/>
      <c r="F228" s="5"/>
      <c r="G228" s="5"/>
      <c r="H228" s="21" t="str">
        <f>IF(E228=""," - ",(IFERROR(VLOOKUP(E228,Prices!A:B,2,0),1)))</f>
        <v xml:space="preserve"> - </v>
      </c>
    </row>
    <row r="229" spans="1:8" x14ac:dyDescent="0.25">
      <c r="A229" s="3"/>
      <c r="B229" s="3"/>
      <c r="C229" s="18" t="str">
        <f t="shared" si="6"/>
        <v/>
      </c>
      <c r="D229" s="5">
        <v>227</v>
      </c>
      <c r="E229" s="5"/>
      <c r="F229" s="5"/>
      <c r="G229" s="5"/>
      <c r="H229" s="21" t="str">
        <f>IF(E229=""," - ",(IFERROR(VLOOKUP(E229,Prices!A:B,2,0),1)))</f>
        <v xml:space="preserve"> - </v>
      </c>
    </row>
    <row r="230" spans="1:8" x14ac:dyDescent="0.25">
      <c r="A230" s="3"/>
      <c r="B230" s="3"/>
      <c r="C230" s="18" t="str">
        <f t="shared" si="6"/>
        <v/>
      </c>
      <c r="D230" s="5">
        <v>228</v>
      </c>
      <c r="E230" s="5"/>
      <c r="F230" s="5"/>
      <c r="G230" s="5"/>
      <c r="H230" s="21" t="str">
        <f>IF(E230=""," - ",(IFERROR(VLOOKUP(E230,Prices!A:B,2,0),1)))</f>
        <v xml:space="preserve"> - </v>
      </c>
    </row>
    <row r="231" spans="1:8" x14ac:dyDescent="0.25">
      <c r="A231" s="3"/>
      <c r="B231" s="3"/>
      <c r="C231" s="18" t="str">
        <f t="shared" si="6"/>
        <v/>
      </c>
      <c r="D231" s="5">
        <v>229</v>
      </c>
      <c r="E231" s="5"/>
      <c r="F231" s="5"/>
      <c r="G231" s="5"/>
      <c r="H231" s="21" t="str">
        <f>IF(E231=""," - ",(IFERROR(VLOOKUP(E231,Prices!A:B,2,0),1)))</f>
        <v xml:space="preserve"> - </v>
      </c>
    </row>
    <row r="232" spans="1:8" x14ac:dyDescent="0.25">
      <c r="A232" s="3"/>
      <c r="B232" s="3"/>
      <c r="C232" s="18" t="str">
        <f t="shared" si="6"/>
        <v/>
      </c>
      <c r="D232" s="5">
        <v>230</v>
      </c>
      <c r="E232" s="5"/>
      <c r="F232" s="5"/>
      <c r="G232" s="5"/>
      <c r="H232" s="21" t="str">
        <f>IF(E232=""," - ",(IFERROR(VLOOKUP(E232,Prices!A:B,2,0),1)))</f>
        <v xml:space="preserve"> - </v>
      </c>
    </row>
    <row r="233" spans="1:8" x14ac:dyDescent="0.25">
      <c r="A233" s="3"/>
      <c r="B233" s="3"/>
      <c r="C233" s="18" t="str">
        <f t="shared" si="6"/>
        <v/>
      </c>
      <c r="D233" s="5">
        <v>231</v>
      </c>
      <c r="E233" s="5"/>
      <c r="F233" s="5"/>
      <c r="G233" s="5"/>
      <c r="H233" s="21" t="str">
        <f>IF(E233=""," - ",(IFERROR(VLOOKUP(E233,Prices!A:B,2,0),1)))</f>
        <v xml:space="preserve"> - </v>
      </c>
    </row>
    <row r="234" spans="1:8" x14ac:dyDescent="0.25">
      <c r="A234" s="3"/>
      <c r="B234" s="3"/>
      <c r="C234" s="18" t="str">
        <f t="shared" si="6"/>
        <v/>
      </c>
      <c r="D234" s="5">
        <v>232</v>
      </c>
      <c r="E234" s="5"/>
      <c r="F234" s="5"/>
      <c r="G234" s="5"/>
      <c r="H234" s="21" t="str">
        <f>IF(E234=""," - ",(IFERROR(VLOOKUP(E234,Prices!A:B,2,0),1)))</f>
        <v xml:space="preserve"> - </v>
      </c>
    </row>
    <row r="235" spans="1:8" x14ac:dyDescent="0.25">
      <c r="A235" s="3"/>
      <c r="B235" s="3"/>
      <c r="C235" s="18" t="str">
        <f t="shared" si="6"/>
        <v/>
      </c>
      <c r="D235" s="5">
        <v>233</v>
      </c>
      <c r="E235" s="5"/>
      <c r="F235" s="5"/>
      <c r="G235" s="5"/>
      <c r="H235" s="21" t="str">
        <f>IF(E235=""," - ",(IFERROR(VLOOKUP(E235,Prices!A:B,2,0),1)))</f>
        <v xml:space="preserve"> - </v>
      </c>
    </row>
    <row r="236" spans="1:8" x14ac:dyDescent="0.25">
      <c r="A236" s="3"/>
      <c r="B236" s="3"/>
      <c r="C236" s="18" t="str">
        <f t="shared" si="6"/>
        <v/>
      </c>
      <c r="D236" s="5">
        <v>234</v>
      </c>
      <c r="E236" s="5"/>
      <c r="F236" s="5"/>
      <c r="G236" s="5"/>
      <c r="H236" s="21" t="str">
        <f>IF(E236=""," - ",(IFERROR(VLOOKUP(E236,Prices!A:B,2,0),1)))</f>
        <v xml:space="preserve"> - </v>
      </c>
    </row>
    <row r="237" spans="1:8" x14ac:dyDescent="0.25">
      <c r="A237" s="3"/>
      <c r="B237" s="3"/>
      <c r="C237" s="18" t="str">
        <f t="shared" si="6"/>
        <v/>
      </c>
      <c r="D237" s="5">
        <v>235</v>
      </c>
      <c r="E237" s="5"/>
      <c r="F237" s="5"/>
      <c r="G237" s="5"/>
      <c r="H237" s="21" t="str">
        <f>IF(E237=""," - ",(IFERROR(VLOOKUP(E237,Prices!A:B,2,0),1)))</f>
        <v xml:space="preserve"> - </v>
      </c>
    </row>
    <row r="238" spans="1:8" x14ac:dyDescent="0.25">
      <c r="A238" s="3"/>
      <c r="B238" s="3"/>
      <c r="C238" s="18" t="str">
        <f t="shared" si="6"/>
        <v/>
      </c>
      <c r="D238" s="5">
        <v>236</v>
      </c>
      <c r="E238" s="5"/>
      <c r="F238" s="5"/>
      <c r="G238" s="5"/>
      <c r="H238" s="21" t="str">
        <f>IF(E238=""," - ",(IFERROR(VLOOKUP(E238,Prices!A:B,2,0),1)))</f>
        <v xml:space="preserve"> - </v>
      </c>
    </row>
    <row r="239" spans="1:8" x14ac:dyDescent="0.25">
      <c r="A239" s="3"/>
      <c r="B239" s="3"/>
      <c r="C239" s="18" t="str">
        <f t="shared" si="6"/>
        <v/>
      </c>
      <c r="D239" s="5">
        <v>237</v>
      </c>
      <c r="E239" s="5"/>
      <c r="F239" s="5"/>
      <c r="G239" s="5"/>
      <c r="H239" s="21" t="str">
        <f>IF(E239=""," - ",(IFERROR(VLOOKUP(E239,Prices!A:B,2,0),1)))</f>
        <v xml:space="preserve"> - </v>
      </c>
    </row>
    <row r="240" spans="1:8" x14ac:dyDescent="0.25">
      <c r="A240" s="3"/>
      <c r="B240" s="3"/>
      <c r="C240" s="18" t="str">
        <f t="shared" si="6"/>
        <v/>
      </c>
      <c r="D240" s="5">
        <v>238</v>
      </c>
      <c r="E240" s="5"/>
      <c r="F240" s="5"/>
      <c r="G240" s="5"/>
      <c r="H240" s="21" t="str">
        <f>IF(E240=""," - ",(IFERROR(VLOOKUP(E240,Prices!A:B,2,0),1)))</f>
        <v xml:space="preserve"> - </v>
      </c>
    </row>
    <row r="241" spans="1:8" x14ac:dyDescent="0.25">
      <c r="A241" s="3"/>
      <c r="B241" s="3"/>
      <c r="C241" s="18" t="str">
        <f t="shared" si="6"/>
        <v/>
      </c>
      <c r="D241" s="5">
        <v>239</v>
      </c>
      <c r="E241" s="5"/>
      <c r="F241" s="5"/>
      <c r="G241" s="5"/>
      <c r="H241" s="21" t="str">
        <f>IF(E241=""," - ",(IFERROR(VLOOKUP(E241,Prices!A:B,2,0),1)))</f>
        <v xml:space="preserve"> - </v>
      </c>
    </row>
    <row r="242" spans="1:8" x14ac:dyDescent="0.25">
      <c r="A242" s="3"/>
      <c r="B242" s="3"/>
      <c r="C242" s="18" t="str">
        <f t="shared" si="6"/>
        <v/>
      </c>
      <c r="D242" s="5">
        <v>240</v>
      </c>
      <c r="E242" s="5"/>
      <c r="F242" s="5"/>
      <c r="G242" s="5"/>
      <c r="H242" s="21" t="str">
        <f>IF(E242=""," - ",(IFERROR(VLOOKUP(E242,Prices!A:B,2,0),1)))</f>
        <v xml:space="preserve"> - </v>
      </c>
    </row>
    <row r="243" spans="1:8" x14ac:dyDescent="0.25">
      <c r="A243" s="3"/>
      <c r="B243" s="3"/>
      <c r="C243" s="18" t="str">
        <f t="shared" si="6"/>
        <v/>
      </c>
      <c r="D243" s="5">
        <v>241</v>
      </c>
      <c r="E243" s="5"/>
      <c r="F243" s="5"/>
      <c r="G243" s="5"/>
      <c r="H243" s="21" t="str">
        <f>IF(E243=""," - ",(IFERROR(VLOOKUP(E243,Prices!A:B,2,0),1)))</f>
        <v xml:space="preserve"> - </v>
      </c>
    </row>
    <row r="244" spans="1:8" x14ac:dyDescent="0.25">
      <c r="A244" s="3"/>
      <c r="B244" s="3"/>
      <c r="C244" s="18" t="str">
        <f t="shared" si="6"/>
        <v/>
      </c>
      <c r="D244" s="5">
        <v>242</v>
      </c>
      <c r="E244" s="5"/>
      <c r="F244" s="5"/>
      <c r="G244" s="5"/>
      <c r="H244" s="21" t="str">
        <f>IF(E244=""," - ",(IFERROR(VLOOKUP(E244,Prices!A:B,2,0),1)))</f>
        <v xml:space="preserve"> - </v>
      </c>
    </row>
    <row r="245" spans="1:8" x14ac:dyDescent="0.25">
      <c r="A245" s="3"/>
      <c r="B245" s="3"/>
      <c r="C245" s="18" t="str">
        <f t="shared" si="6"/>
        <v/>
      </c>
      <c r="D245" s="5">
        <v>243</v>
      </c>
      <c r="E245" s="5"/>
      <c r="F245" s="5"/>
      <c r="G245" s="5"/>
      <c r="H245" s="21" t="str">
        <f>IF(E245=""," - ",(IFERROR(VLOOKUP(E245,Prices!A:B,2,0),1)))</f>
        <v xml:space="preserve"> - </v>
      </c>
    </row>
    <row r="246" spans="1:8" x14ac:dyDescent="0.25">
      <c r="A246" s="3"/>
      <c r="B246" s="3"/>
      <c r="C246" s="18" t="str">
        <f t="shared" si="6"/>
        <v/>
      </c>
      <c r="D246" s="5">
        <v>244</v>
      </c>
      <c r="E246" s="5"/>
      <c r="F246" s="5"/>
      <c r="G246" s="5"/>
      <c r="H246" s="21" t="str">
        <f>IF(E246=""," - ",(IFERROR(VLOOKUP(E246,Prices!A:B,2,0),1)))</f>
        <v xml:space="preserve"> - </v>
      </c>
    </row>
    <row r="247" spans="1:8" x14ac:dyDescent="0.25">
      <c r="A247" s="3"/>
      <c r="B247" s="3"/>
      <c r="C247" s="18" t="str">
        <f t="shared" si="6"/>
        <v/>
      </c>
      <c r="D247" s="5">
        <v>245</v>
      </c>
      <c r="E247" s="5"/>
      <c r="F247" s="5"/>
      <c r="G247" s="5"/>
      <c r="H247" s="21" t="str">
        <f>IF(E247=""," - ",(IFERROR(VLOOKUP(E247,Prices!A:B,2,0),1)))</f>
        <v xml:space="preserve"> - </v>
      </c>
    </row>
    <row r="248" spans="1:8" x14ac:dyDescent="0.25">
      <c r="A248" s="3"/>
      <c r="B248" s="3"/>
      <c r="C248" s="18" t="str">
        <f t="shared" si="6"/>
        <v/>
      </c>
      <c r="D248" s="5">
        <v>246</v>
      </c>
      <c r="E248" s="5"/>
      <c r="F248" s="5"/>
      <c r="G248" s="5"/>
      <c r="H248" s="21" t="str">
        <f>IF(E248=""," - ",(IFERROR(VLOOKUP(E248,Prices!A:B,2,0),1)))</f>
        <v xml:space="preserve"> - </v>
      </c>
    </row>
    <row r="249" spans="1:8" x14ac:dyDescent="0.25">
      <c r="A249" s="3"/>
      <c r="B249" s="3"/>
      <c r="C249" s="18" t="str">
        <f t="shared" si="6"/>
        <v/>
      </c>
      <c r="D249" s="5">
        <v>247</v>
      </c>
      <c r="E249" s="5"/>
      <c r="F249" s="5"/>
      <c r="G249" s="5"/>
      <c r="H249" s="21" t="str">
        <f>IF(E249=""," - ",(IFERROR(VLOOKUP(E249,Prices!A:B,2,0),1)))</f>
        <v xml:space="preserve"> - </v>
      </c>
    </row>
    <row r="250" spans="1:8" x14ac:dyDescent="0.25">
      <c r="A250" s="3"/>
      <c r="B250" s="3"/>
      <c r="C250" s="18" t="str">
        <f t="shared" si="6"/>
        <v/>
      </c>
      <c r="D250" s="5">
        <v>248</v>
      </c>
      <c r="E250" s="5"/>
      <c r="F250" s="5"/>
      <c r="G250" s="5"/>
      <c r="H250" s="21" t="str">
        <f>IF(E250=""," - ",(IFERROR(VLOOKUP(E250,Prices!A:B,2,0),1)))</f>
        <v xml:space="preserve"> - </v>
      </c>
    </row>
    <row r="251" spans="1:8" x14ac:dyDescent="0.25">
      <c r="A251" s="3"/>
      <c r="B251" s="3"/>
      <c r="C251" s="18" t="str">
        <f t="shared" si="6"/>
        <v/>
      </c>
      <c r="D251" s="5">
        <v>249</v>
      </c>
      <c r="E251" s="5"/>
      <c r="F251" s="5"/>
      <c r="G251" s="5"/>
      <c r="H251" s="21" t="str">
        <f>IF(E251=""," - ",(IFERROR(VLOOKUP(E251,Prices!A:B,2,0),1)))</f>
        <v xml:space="preserve"> - </v>
      </c>
    </row>
    <row r="252" spans="1:8" x14ac:dyDescent="0.25">
      <c r="A252" s="3"/>
      <c r="B252" s="3"/>
      <c r="C252" s="18" t="str">
        <f t="shared" si="6"/>
        <v/>
      </c>
      <c r="D252" s="5">
        <v>250</v>
      </c>
      <c r="E252" s="5"/>
      <c r="F252" s="5"/>
      <c r="G252" s="5"/>
      <c r="H252" s="21" t="str">
        <f>IF(E252=""," - ",(IFERROR(VLOOKUP(E252,Prices!A:B,2,0),1)))</f>
        <v xml:space="preserve"> - </v>
      </c>
    </row>
    <row r="253" spans="1:8" x14ac:dyDescent="0.25">
      <c r="A253" s="3"/>
      <c r="B253" s="3"/>
      <c r="C253" s="18" t="str">
        <f t="shared" si="6"/>
        <v/>
      </c>
      <c r="D253" s="5">
        <v>251</v>
      </c>
      <c r="E253" s="5"/>
      <c r="F253" s="5"/>
      <c r="G253" s="5"/>
      <c r="H253" s="21" t="str">
        <f>IF(E253=""," - ",(IFERROR(VLOOKUP(E253,Prices!A:B,2,0),1)))</f>
        <v xml:space="preserve"> - </v>
      </c>
    </row>
    <row r="254" spans="1:8" x14ac:dyDescent="0.25">
      <c r="A254" s="3"/>
      <c r="B254" s="3"/>
      <c r="C254" s="18" t="str">
        <f t="shared" si="6"/>
        <v/>
      </c>
      <c r="D254" s="5">
        <v>252</v>
      </c>
      <c r="E254" s="5"/>
      <c r="F254" s="5"/>
      <c r="G254" s="5"/>
      <c r="H254" s="21" t="str">
        <f>IF(E254=""," - ",(IFERROR(VLOOKUP(E254,Prices!A:B,2,0),1)))</f>
        <v xml:space="preserve"> - </v>
      </c>
    </row>
    <row r="255" spans="1:8" x14ac:dyDescent="0.25">
      <c r="A255" s="3"/>
      <c r="B255" s="3"/>
      <c r="C255" s="18" t="str">
        <f t="shared" si="6"/>
        <v/>
      </c>
      <c r="D255" s="5">
        <v>253</v>
      </c>
      <c r="E255" s="5"/>
      <c r="F255" s="5"/>
      <c r="G255" s="5"/>
      <c r="H255" s="21" t="str">
        <f>IF(E255=""," - ",(IFERROR(VLOOKUP(E255,Prices!A:B,2,0),1)))</f>
        <v xml:space="preserve"> - </v>
      </c>
    </row>
    <row r="256" spans="1:8" x14ac:dyDescent="0.25">
      <c r="A256" s="3"/>
      <c r="B256" s="3"/>
      <c r="C256" s="18" t="str">
        <f t="shared" si="6"/>
        <v/>
      </c>
      <c r="D256" s="5">
        <v>254</v>
      </c>
      <c r="E256" s="5"/>
      <c r="F256" s="5"/>
      <c r="G256" s="5"/>
      <c r="H256" s="21" t="str">
        <f>IF(E256=""," - ",(IFERROR(VLOOKUP(E256,Prices!A:B,2,0),1)))</f>
        <v xml:space="preserve"> - </v>
      </c>
    </row>
    <row r="257" spans="1:8" x14ac:dyDescent="0.25">
      <c r="A257" s="3"/>
      <c r="B257" s="3"/>
      <c r="C257" s="18" t="str">
        <f t="shared" si="6"/>
        <v/>
      </c>
      <c r="D257" s="5">
        <v>255</v>
      </c>
      <c r="E257" s="5"/>
      <c r="F257" s="5"/>
      <c r="G257" s="5"/>
      <c r="H257" s="21" t="str">
        <f>IF(E257=""," - ",(IFERROR(VLOOKUP(E257,Prices!A:B,2,0),1)))</f>
        <v xml:space="preserve"> - </v>
      </c>
    </row>
    <row r="258" spans="1:8" x14ac:dyDescent="0.25">
      <c r="A258" s="3"/>
      <c r="B258" s="3"/>
      <c r="C258" s="18" t="str">
        <f t="shared" si="6"/>
        <v/>
      </c>
      <c r="D258" s="5">
        <v>256</v>
      </c>
      <c r="E258" s="5"/>
      <c r="F258" s="5"/>
      <c r="G258" s="5"/>
      <c r="H258" s="21" t="str">
        <f>IF(E258=""," - ",(IFERROR(VLOOKUP(E258,Prices!A:B,2,0),1)))</f>
        <v xml:space="preserve"> - </v>
      </c>
    </row>
    <row r="259" spans="1:8" x14ac:dyDescent="0.25">
      <c r="A259" s="3"/>
      <c r="B259" s="3"/>
      <c r="C259" s="18" t="str">
        <f t="shared" si="6"/>
        <v/>
      </c>
      <c r="D259" s="5">
        <v>257</v>
      </c>
      <c r="E259" s="5"/>
      <c r="F259" s="5"/>
      <c r="G259" s="5"/>
      <c r="H259" s="21" t="str">
        <f>IF(E259=""," - ",(IFERROR(VLOOKUP(E259,Prices!A:B,2,0),1)))</f>
        <v xml:space="preserve"> - </v>
      </c>
    </row>
    <row r="260" spans="1:8" x14ac:dyDescent="0.25">
      <c r="A260" s="3"/>
      <c r="B260" s="3"/>
      <c r="C260" s="18" t="str">
        <f t="shared" ref="C260:C323" si="7">IFERROR(IF(MATCH($B$3,D:D)-2=D260,"à",""),"")</f>
        <v/>
      </c>
      <c r="D260" s="5">
        <v>258</v>
      </c>
      <c r="E260" s="5"/>
      <c r="F260" s="5"/>
      <c r="G260" s="5"/>
      <c r="H260" s="21" t="str">
        <f>IF(E260=""," - ",(IFERROR(VLOOKUP(E260,Prices!A:B,2,0),1)))</f>
        <v xml:space="preserve"> - </v>
      </c>
    </row>
    <row r="261" spans="1:8" x14ac:dyDescent="0.25">
      <c r="A261" s="3"/>
      <c r="B261" s="3"/>
      <c r="C261" s="18" t="str">
        <f t="shared" si="7"/>
        <v/>
      </c>
      <c r="D261" s="5">
        <v>259</v>
      </c>
      <c r="E261" s="5"/>
      <c r="F261" s="5"/>
      <c r="G261" s="5"/>
      <c r="H261" s="21" t="str">
        <f>IF(E261=""," - ",(IFERROR(VLOOKUP(E261,Prices!A:B,2,0),1)))</f>
        <v xml:space="preserve"> - </v>
      </c>
    </row>
    <row r="262" spans="1:8" x14ac:dyDescent="0.25">
      <c r="A262" s="3"/>
      <c r="B262" s="3"/>
      <c r="C262" s="18" t="str">
        <f t="shared" si="7"/>
        <v/>
      </c>
      <c r="D262" s="5">
        <v>260</v>
      </c>
      <c r="E262" s="5"/>
      <c r="F262" s="5"/>
      <c r="G262" s="5"/>
      <c r="H262" s="21" t="str">
        <f>IF(E262=""," - ",(IFERROR(VLOOKUP(E262,Prices!A:B,2,0),1)))</f>
        <v xml:space="preserve"> - </v>
      </c>
    </row>
    <row r="263" spans="1:8" x14ac:dyDescent="0.25">
      <c r="A263" s="3"/>
      <c r="B263" s="3"/>
      <c r="C263" s="18" t="str">
        <f t="shared" si="7"/>
        <v/>
      </c>
      <c r="D263" s="5">
        <v>261</v>
      </c>
      <c r="E263" s="5"/>
      <c r="F263" s="5"/>
      <c r="G263" s="5"/>
      <c r="H263" s="21" t="str">
        <f>IF(E263=""," - ",(IFERROR(VLOOKUP(E263,Prices!A:B,2,0),1)))</f>
        <v xml:space="preserve"> - </v>
      </c>
    </row>
    <row r="264" spans="1:8" x14ac:dyDescent="0.25">
      <c r="A264" s="3"/>
      <c r="B264" s="3"/>
      <c r="C264" s="18" t="str">
        <f t="shared" si="7"/>
        <v/>
      </c>
      <c r="D264" s="5">
        <v>262</v>
      </c>
      <c r="E264" s="5"/>
      <c r="F264" s="5"/>
      <c r="G264" s="5"/>
      <c r="H264" s="21" t="str">
        <f>IF(E264=""," - ",(IFERROR(VLOOKUP(E264,Prices!A:B,2,0),1)))</f>
        <v xml:space="preserve"> - </v>
      </c>
    </row>
    <row r="265" spans="1:8" x14ac:dyDescent="0.25">
      <c r="A265" s="3"/>
      <c r="B265" s="3"/>
      <c r="C265" s="18" t="str">
        <f t="shared" si="7"/>
        <v/>
      </c>
      <c r="D265" s="5">
        <v>263</v>
      </c>
      <c r="E265" s="5"/>
      <c r="F265" s="5"/>
      <c r="G265" s="5"/>
      <c r="H265" s="21" t="str">
        <f>IF(E265=""," - ",(IFERROR(VLOOKUP(E265,Prices!A:B,2,0),1)))</f>
        <v xml:space="preserve"> - </v>
      </c>
    </row>
    <row r="266" spans="1:8" x14ac:dyDescent="0.25">
      <c r="A266" s="3"/>
      <c r="B266" s="3"/>
      <c r="C266" s="18" t="str">
        <f t="shared" si="7"/>
        <v/>
      </c>
      <c r="D266" s="5">
        <v>264</v>
      </c>
      <c r="E266" s="5"/>
      <c r="F266" s="5"/>
      <c r="G266" s="5"/>
      <c r="H266" s="21" t="str">
        <f>IF(E266=""," - ",(IFERROR(VLOOKUP(E266,Prices!A:B,2,0),1)))</f>
        <v xml:space="preserve"> - </v>
      </c>
    </row>
    <row r="267" spans="1:8" x14ac:dyDescent="0.25">
      <c r="A267" s="3"/>
      <c r="B267" s="3"/>
      <c r="C267" s="18" t="str">
        <f t="shared" si="7"/>
        <v/>
      </c>
      <c r="D267" s="5">
        <v>265</v>
      </c>
      <c r="E267" s="5"/>
      <c r="F267" s="5"/>
      <c r="G267" s="5"/>
      <c r="H267" s="21" t="str">
        <f>IF(E267=""," - ",(IFERROR(VLOOKUP(E267,Prices!A:B,2,0),1)))</f>
        <v xml:space="preserve"> - </v>
      </c>
    </row>
    <row r="268" spans="1:8" x14ac:dyDescent="0.25">
      <c r="A268" s="3"/>
      <c r="B268" s="3"/>
      <c r="C268" s="18" t="str">
        <f t="shared" si="7"/>
        <v/>
      </c>
      <c r="D268" s="5">
        <v>266</v>
      </c>
      <c r="E268" s="5"/>
      <c r="F268" s="5"/>
      <c r="G268" s="5"/>
      <c r="H268" s="21" t="str">
        <f>IF(E268=""," - ",(IFERROR(VLOOKUP(E268,Prices!A:B,2,0),1)))</f>
        <v xml:space="preserve"> - </v>
      </c>
    </row>
    <row r="269" spans="1:8" x14ac:dyDescent="0.25">
      <c r="A269" s="3"/>
      <c r="B269" s="3"/>
      <c r="C269" s="18" t="str">
        <f t="shared" si="7"/>
        <v/>
      </c>
      <c r="D269" s="5">
        <v>267</v>
      </c>
      <c r="E269" s="5"/>
      <c r="F269" s="5"/>
      <c r="G269" s="5"/>
      <c r="H269" s="21" t="str">
        <f>IF(E269=""," - ",(IFERROR(VLOOKUP(E269,Prices!A:B,2,0),1)))</f>
        <v xml:space="preserve"> - </v>
      </c>
    </row>
    <row r="270" spans="1:8" x14ac:dyDescent="0.25">
      <c r="A270" s="3"/>
      <c r="B270" s="3"/>
      <c r="C270" s="18" t="str">
        <f t="shared" si="7"/>
        <v/>
      </c>
      <c r="D270" s="5">
        <v>268</v>
      </c>
      <c r="E270" s="5"/>
      <c r="F270" s="5"/>
      <c r="G270" s="5"/>
      <c r="H270" s="21" t="str">
        <f>IF(E270=""," - ",(IFERROR(VLOOKUP(E270,Prices!A:B,2,0),1)))</f>
        <v xml:space="preserve"> - </v>
      </c>
    </row>
    <row r="271" spans="1:8" x14ac:dyDescent="0.25">
      <c r="A271" s="3"/>
      <c r="B271" s="3"/>
      <c r="C271" s="18" t="str">
        <f t="shared" si="7"/>
        <v/>
      </c>
      <c r="D271" s="5">
        <v>269</v>
      </c>
      <c r="E271" s="5"/>
      <c r="F271" s="5"/>
      <c r="G271" s="5"/>
      <c r="H271" s="21" t="str">
        <f>IF(E271=""," - ",(IFERROR(VLOOKUP(E271,Prices!A:B,2,0),1)))</f>
        <v xml:space="preserve"> - </v>
      </c>
    </row>
    <row r="272" spans="1:8" x14ac:dyDescent="0.25">
      <c r="A272" s="3"/>
      <c r="B272" s="3"/>
      <c r="C272" s="18" t="str">
        <f t="shared" si="7"/>
        <v/>
      </c>
      <c r="D272" s="5">
        <v>270</v>
      </c>
      <c r="E272" s="5"/>
      <c r="F272" s="5"/>
      <c r="G272" s="5"/>
      <c r="H272" s="21" t="str">
        <f>IF(E272=""," - ",(IFERROR(VLOOKUP(E272,Prices!A:B,2,0),1)))</f>
        <v xml:space="preserve"> - </v>
      </c>
    </row>
    <row r="273" spans="1:8" x14ac:dyDescent="0.25">
      <c r="A273" s="3"/>
      <c r="B273" s="3"/>
      <c r="C273" s="18" t="str">
        <f t="shared" si="7"/>
        <v/>
      </c>
      <c r="D273" s="5">
        <v>271</v>
      </c>
      <c r="E273" s="5"/>
      <c r="F273" s="5"/>
      <c r="G273" s="5"/>
      <c r="H273" s="21" t="str">
        <f>IF(E273=""," - ",(IFERROR(VLOOKUP(E273,Prices!A:B,2,0),1)))</f>
        <v xml:space="preserve"> - </v>
      </c>
    </row>
    <row r="274" spans="1:8" x14ac:dyDescent="0.25">
      <c r="A274" s="3"/>
      <c r="B274" s="3"/>
      <c r="C274" s="18" t="str">
        <f t="shared" si="7"/>
        <v/>
      </c>
      <c r="D274" s="5">
        <v>272</v>
      </c>
      <c r="E274" s="5"/>
      <c r="F274" s="5"/>
      <c r="G274" s="5"/>
      <c r="H274" s="21" t="str">
        <f>IF(E274=""," - ",(IFERROR(VLOOKUP(E274,Prices!A:B,2,0),1)))</f>
        <v xml:space="preserve"> - </v>
      </c>
    </row>
    <row r="275" spans="1:8" x14ac:dyDescent="0.25">
      <c r="A275" s="3"/>
      <c r="B275" s="3"/>
      <c r="C275" s="18" t="str">
        <f t="shared" si="7"/>
        <v/>
      </c>
      <c r="D275" s="5">
        <v>273</v>
      </c>
      <c r="E275" s="5"/>
      <c r="F275" s="5"/>
      <c r="G275" s="5"/>
      <c r="H275" s="21" t="str">
        <f>IF(E275=""," - ",(IFERROR(VLOOKUP(E275,Prices!A:B,2,0),1)))</f>
        <v xml:space="preserve"> - </v>
      </c>
    </row>
    <row r="276" spans="1:8" x14ac:dyDescent="0.25">
      <c r="A276" s="3"/>
      <c r="B276" s="3"/>
      <c r="C276" s="18" t="str">
        <f t="shared" si="7"/>
        <v/>
      </c>
      <c r="D276" s="5">
        <v>274</v>
      </c>
      <c r="E276" s="5"/>
      <c r="F276" s="5"/>
      <c r="G276" s="5"/>
      <c r="H276" s="21" t="str">
        <f>IF(E276=""," - ",(IFERROR(VLOOKUP(E276,Prices!A:B,2,0),1)))</f>
        <v xml:space="preserve"> - </v>
      </c>
    </row>
    <row r="277" spans="1:8" x14ac:dyDescent="0.25">
      <c r="A277" s="3"/>
      <c r="B277" s="3"/>
      <c r="C277" s="18" t="str">
        <f t="shared" si="7"/>
        <v/>
      </c>
      <c r="D277" s="5">
        <v>275</v>
      </c>
      <c r="E277" s="5"/>
      <c r="F277" s="5"/>
      <c r="G277" s="5"/>
      <c r="H277" s="21" t="str">
        <f>IF(E277=""," - ",(IFERROR(VLOOKUP(E277,Prices!A:B,2,0),1)))</f>
        <v xml:space="preserve"> - </v>
      </c>
    </row>
    <row r="278" spans="1:8" x14ac:dyDescent="0.25">
      <c r="A278" s="3"/>
      <c r="B278" s="3"/>
      <c r="C278" s="18" t="str">
        <f t="shared" si="7"/>
        <v/>
      </c>
      <c r="D278" s="5">
        <v>276</v>
      </c>
      <c r="E278" s="5"/>
      <c r="F278" s="5"/>
      <c r="G278" s="5"/>
      <c r="H278" s="21" t="str">
        <f>IF(E278=""," - ",(IFERROR(VLOOKUP(E278,Prices!A:B,2,0),1)))</f>
        <v xml:space="preserve"> - </v>
      </c>
    </row>
    <row r="279" spans="1:8" x14ac:dyDescent="0.25">
      <c r="A279" s="3"/>
      <c r="B279" s="3"/>
      <c r="C279" s="18" t="str">
        <f t="shared" si="7"/>
        <v/>
      </c>
      <c r="D279" s="5">
        <v>277</v>
      </c>
      <c r="E279" s="5"/>
      <c r="F279" s="5"/>
      <c r="G279" s="5"/>
      <c r="H279" s="21" t="str">
        <f>IF(E279=""," - ",(IFERROR(VLOOKUP(E279,Prices!A:B,2,0),1)))</f>
        <v xml:space="preserve"> - </v>
      </c>
    </row>
    <row r="280" spans="1:8" x14ac:dyDescent="0.25">
      <c r="A280" s="3"/>
      <c r="B280" s="3"/>
      <c r="C280" s="18" t="str">
        <f t="shared" si="7"/>
        <v/>
      </c>
      <c r="D280" s="5">
        <v>278</v>
      </c>
      <c r="E280" s="5"/>
      <c r="F280" s="5"/>
      <c r="G280" s="5"/>
      <c r="H280" s="21" t="str">
        <f>IF(E280=""," - ",(IFERROR(VLOOKUP(E280,Prices!A:B,2,0),1)))</f>
        <v xml:space="preserve"> - </v>
      </c>
    </row>
    <row r="281" spans="1:8" x14ac:dyDescent="0.25">
      <c r="A281" s="3"/>
      <c r="B281" s="3"/>
      <c r="C281" s="18" t="str">
        <f t="shared" si="7"/>
        <v/>
      </c>
      <c r="D281" s="5">
        <v>279</v>
      </c>
      <c r="E281" s="5"/>
      <c r="F281" s="5"/>
      <c r="G281" s="5"/>
      <c r="H281" s="21" t="str">
        <f>IF(E281=""," - ",(IFERROR(VLOOKUP(E281,Prices!A:B,2,0),1)))</f>
        <v xml:space="preserve"> - </v>
      </c>
    </row>
    <row r="282" spans="1:8" x14ac:dyDescent="0.25">
      <c r="A282" s="3"/>
      <c r="B282" s="3"/>
      <c r="C282" s="18" t="str">
        <f t="shared" si="7"/>
        <v/>
      </c>
      <c r="D282" s="5">
        <v>280</v>
      </c>
      <c r="E282" s="5"/>
      <c r="F282" s="5"/>
      <c r="G282" s="5"/>
      <c r="H282" s="21" t="str">
        <f>IF(E282=""," - ",(IFERROR(VLOOKUP(E282,Prices!A:B,2,0),1)))</f>
        <v xml:space="preserve"> - </v>
      </c>
    </row>
    <row r="283" spans="1:8" x14ac:dyDescent="0.25">
      <c r="A283" s="3"/>
      <c r="B283" s="3"/>
      <c r="C283" s="18" t="str">
        <f t="shared" si="7"/>
        <v/>
      </c>
      <c r="D283" s="5">
        <v>281</v>
      </c>
      <c r="E283" s="5"/>
      <c r="F283" s="5"/>
      <c r="G283" s="5"/>
      <c r="H283" s="21" t="str">
        <f>IF(E283=""," - ",(IFERROR(VLOOKUP(E283,Prices!A:B,2,0),1)))</f>
        <v xml:space="preserve"> - </v>
      </c>
    </row>
    <row r="284" spans="1:8" x14ac:dyDescent="0.25">
      <c r="A284" s="3"/>
      <c r="B284" s="3"/>
      <c r="C284" s="18" t="str">
        <f t="shared" si="7"/>
        <v/>
      </c>
      <c r="D284" s="5">
        <v>282</v>
      </c>
      <c r="E284" s="5"/>
      <c r="F284" s="5"/>
      <c r="G284" s="5"/>
      <c r="H284" s="21" t="str">
        <f>IF(E284=""," - ",(IFERROR(VLOOKUP(E284,Prices!A:B,2,0),1)))</f>
        <v xml:space="preserve"> - </v>
      </c>
    </row>
    <row r="285" spans="1:8" x14ac:dyDescent="0.25">
      <c r="A285" s="3"/>
      <c r="B285" s="3"/>
      <c r="C285" s="18" t="str">
        <f t="shared" si="7"/>
        <v/>
      </c>
      <c r="D285" s="5">
        <v>283</v>
      </c>
      <c r="E285" s="5"/>
      <c r="F285" s="5"/>
      <c r="G285" s="5"/>
      <c r="H285" s="21" t="str">
        <f>IF(E285=""," - ",(IFERROR(VLOOKUP(E285,Prices!A:B,2,0),1)))</f>
        <v xml:space="preserve"> - </v>
      </c>
    </row>
    <row r="286" spans="1:8" x14ac:dyDescent="0.25">
      <c r="A286" s="3"/>
      <c r="B286" s="3"/>
      <c r="C286" s="18" t="str">
        <f t="shared" si="7"/>
        <v/>
      </c>
      <c r="D286" s="5">
        <v>284</v>
      </c>
      <c r="E286" s="5"/>
      <c r="F286" s="5"/>
      <c r="G286" s="5"/>
      <c r="H286" s="21" t="str">
        <f>IF(E286=""," - ",(IFERROR(VLOOKUP(E286,Prices!A:B,2,0),1)))</f>
        <v xml:space="preserve"> - </v>
      </c>
    </row>
    <row r="287" spans="1:8" x14ac:dyDescent="0.25">
      <c r="A287" s="3"/>
      <c r="B287" s="3"/>
      <c r="C287" s="18" t="str">
        <f t="shared" si="7"/>
        <v/>
      </c>
      <c r="D287" s="5">
        <v>285</v>
      </c>
      <c r="E287" s="5"/>
      <c r="F287" s="5"/>
      <c r="G287" s="5"/>
      <c r="H287" s="21" t="str">
        <f>IF(E287=""," - ",(IFERROR(VLOOKUP(E287,Prices!A:B,2,0),1)))</f>
        <v xml:space="preserve"> - </v>
      </c>
    </row>
    <row r="288" spans="1:8" x14ac:dyDescent="0.25">
      <c r="A288" s="3"/>
      <c r="B288" s="3"/>
      <c r="C288" s="18" t="str">
        <f t="shared" si="7"/>
        <v/>
      </c>
      <c r="D288" s="5">
        <v>286</v>
      </c>
      <c r="E288" s="5"/>
      <c r="F288" s="5"/>
      <c r="G288" s="5"/>
      <c r="H288" s="21" t="str">
        <f>IF(E288=""," - ",(IFERROR(VLOOKUP(E288,Prices!A:B,2,0),1)))</f>
        <v xml:space="preserve"> - </v>
      </c>
    </row>
    <row r="289" spans="1:8" x14ac:dyDescent="0.25">
      <c r="A289" s="3"/>
      <c r="B289" s="3"/>
      <c r="C289" s="18" t="str">
        <f t="shared" si="7"/>
        <v/>
      </c>
      <c r="D289" s="5">
        <v>287</v>
      </c>
      <c r="E289" s="5"/>
      <c r="F289" s="5"/>
      <c r="G289" s="5"/>
      <c r="H289" s="21" t="str">
        <f>IF(E289=""," - ",(IFERROR(VLOOKUP(E289,Prices!A:B,2,0),1)))</f>
        <v xml:space="preserve"> - </v>
      </c>
    </row>
    <row r="290" spans="1:8" x14ac:dyDescent="0.25">
      <c r="A290" s="3"/>
      <c r="B290" s="3"/>
      <c r="C290" s="18" t="str">
        <f t="shared" si="7"/>
        <v/>
      </c>
      <c r="D290" s="5">
        <v>288</v>
      </c>
      <c r="E290" s="5"/>
      <c r="F290" s="5"/>
      <c r="G290" s="5"/>
      <c r="H290" s="21" t="str">
        <f>IF(E290=""," - ",(IFERROR(VLOOKUP(E290,Prices!A:B,2,0),1)))</f>
        <v xml:space="preserve"> - </v>
      </c>
    </row>
    <row r="291" spans="1:8" x14ac:dyDescent="0.25">
      <c r="A291" s="3"/>
      <c r="B291" s="3"/>
      <c r="C291" s="18" t="str">
        <f t="shared" si="7"/>
        <v/>
      </c>
      <c r="D291" s="5">
        <v>289</v>
      </c>
      <c r="E291" s="5"/>
      <c r="F291" s="5"/>
      <c r="G291" s="5"/>
      <c r="H291" s="21" t="str">
        <f>IF(E291=""," - ",(IFERROR(VLOOKUP(E291,Prices!A:B,2,0),1)))</f>
        <v xml:space="preserve"> - </v>
      </c>
    </row>
    <row r="292" spans="1:8" x14ac:dyDescent="0.25">
      <c r="A292" s="3"/>
      <c r="B292" s="3"/>
      <c r="C292" s="18" t="str">
        <f t="shared" si="7"/>
        <v/>
      </c>
      <c r="D292" s="5">
        <v>290</v>
      </c>
      <c r="E292" s="5"/>
      <c r="F292" s="5"/>
      <c r="G292" s="5"/>
      <c r="H292" s="21" t="str">
        <f>IF(E292=""," - ",(IFERROR(VLOOKUP(E292,Prices!A:B,2,0),1)))</f>
        <v xml:space="preserve"> - </v>
      </c>
    </row>
    <row r="293" spans="1:8" x14ac:dyDescent="0.25">
      <c r="A293" s="3"/>
      <c r="B293" s="3"/>
      <c r="C293" s="18" t="str">
        <f t="shared" si="7"/>
        <v/>
      </c>
      <c r="D293" s="5">
        <v>291</v>
      </c>
      <c r="E293" s="5"/>
      <c r="F293" s="5"/>
      <c r="G293" s="5"/>
      <c r="H293" s="21" t="str">
        <f>IF(E293=""," - ",(IFERROR(VLOOKUP(E293,Prices!A:B,2,0),1)))</f>
        <v xml:space="preserve"> - </v>
      </c>
    </row>
    <row r="294" spans="1:8" x14ac:dyDescent="0.25">
      <c r="A294" s="3"/>
      <c r="B294" s="3"/>
      <c r="C294" s="18" t="str">
        <f t="shared" si="7"/>
        <v/>
      </c>
      <c r="D294" s="5">
        <v>292</v>
      </c>
      <c r="E294" s="5"/>
      <c r="F294" s="5"/>
      <c r="G294" s="5"/>
      <c r="H294" s="21" t="str">
        <f>IF(E294=""," - ",(IFERROR(VLOOKUP(E294,Prices!A:B,2,0),1)))</f>
        <v xml:space="preserve"> - </v>
      </c>
    </row>
    <row r="295" spans="1:8" x14ac:dyDescent="0.25">
      <c r="A295" s="3"/>
      <c r="B295" s="3"/>
      <c r="C295" s="18" t="str">
        <f t="shared" si="7"/>
        <v/>
      </c>
      <c r="D295" s="5">
        <v>293</v>
      </c>
      <c r="E295" s="5"/>
      <c r="F295" s="5"/>
      <c r="G295" s="5"/>
      <c r="H295" s="21" t="str">
        <f>IF(E295=""," - ",(IFERROR(VLOOKUP(E295,Prices!A:B,2,0),1)))</f>
        <v xml:space="preserve"> - </v>
      </c>
    </row>
    <row r="296" spans="1:8" x14ac:dyDescent="0.25">
      <c r="A296" s="3"/>
      <c r="B296" s="3"/>
      <c r="C296" s="18" t="str">
        <f t="shared" si="7"/>
        <v/>
      </c>
      <c r="D296" s="5">
        <v>294</v>
      </c>
      <c r="E296" s="5"/>
      <c r="F296" s="5"/>
      <c r="G296" s="5"/>
      <c r="H296" s="21" t="str">
        <f>IF(E296=""," - ",(IFERROR(VLOOKUP(E296,Prices!A:B,2,0),1)))</f>
        <v xml:space="preserve"> - </v>
      </c>
    </row>
    <row r="297" spans="1:8" x14ac:dyDescent="0.25">
      <c r="A297" s="3"/>
      <c r="B297" s="3"/>
      <c r="C297" s="18" t="str">
        <f t="shared" si="7"/>
        <v/>
      </c>
      <c r="D297" s="5">
        <v>295</v>
      </c>
      <c r="E297" s="5"/>
      <c r="F297" s="5"/>
      <c r="G297" s="5"/>
      <c r="H297" s="21" t="str">
        <f>IF(E297=""," - ",(IFERROR(VLOOKUP(E297,Prices!A:B,2,0),1)))</f>
        <v xml:space="preserve"> - </v>
      </c>
    </row>
    <row r="298" spans="1:8" x14ac:dyDescent="0.25">
      <c r="A298" s="3"/>
      <c r="B298" s="3"/>
      <c r="C298" s="18" t="str">
        <f t="shared" si="7"/>
        <v/>
      </c>
      <c r="D298" s="5">
        <v>296</v>
      </c>
      <c r="E298" s="5"/>
      <c r="F298" s="5"/>
      <c r="G298" s="5"/>
      <c r="H298" s="21" t="str">
        <f>IF(E298=""," - ",(IFERROR(VLOOKUP(E298,Prices!A:B,2,0),1)))</f>
        <v xml:space="preserve"> - </v>
      </c>
    </row>
    <row r="299" spans="1:8" x14ac:dyDescent="0.25">
      <c r="A299" s="3"/>
      <c r="B299" s="3"/>
      <c r="C299" s="18" t="str">
        <f t="shared" si="7"/>
        <v/>
      </c>
      <c r="D299" s="5">
        <v>297</v>
      </c>
      <c r="E299" s="5"/>
      <c r="F299" s="5"/>
      <c r="G299" s="5"/>
      <c r="H299" s="21" t="str">
        <f>IF(E299=""," - ",(IFERROR(VLOOKUP(E299,Prices!A:B,2,0),1)))</f>
        <v xml:space="preserve"> - </v>
      </c>
    </row>
    <row r="300" spans="1:8" x14ac:dyDescent="0.25">
      <c r="A300" s="3"/>
      <c r="B300" s="3"/>
      <c r="C300" s="18" t="str">
        <f t="shared" si="7"/>
        <v/>
      </c>
      <c r="D300" s="5">
        <v>298</v>
      </c>
      <c r="E300" s="5"/>
      <c r="F300" s="5"/>
      <c r="G300" s="5"/>
      <c r="H300" s="21" t="str">
        <f>IF(E300=""," - ",(IFERROR(VLOOKUP(E300,Prices!A:B,2,0),1)))</f>
        <v xml:space="preserve"> - </v>
      </c>
    </row>
    <row r="301" spans="1:8" x14ac:dyDescent="0.25">
      <c r="A301" s="3"/>
      <c r="B301" s="3"/>
      <c r="C301" s="18" t="str">
        <f t="shared" si="7"/>
        <v/>
      </c>
      <c r="D301" s="5">
        <v>299</v>
      </c>
      <c r="E301" s="5"/>
      <c r="F301" s="5"/>
      <c r="G301" s="5"/>
      <c r="H301" s="21" t="str">
        <f>IF(E301=""," - ",(IFERROR(VLOOKUP(E301,Prices!A:B,2,0),1)))</f>
        <v xml:space="preserve"> - </v>
      </c>
    </row>
    <row r="302" spans="1:8" x14ac:dyDescent="0.25">
      <c r="A302" s="3"/>
      <c r="B302" s="3"/>
      <c r="C302" s="18" t="str">
        <f t="shared" si="7"/>
        <v/>
      </c>
      <c r="D302" s="5">
        <v>300</v>
      </c>
      <c r="E302" s="5"/>
      <c r="F302" s="5"/>
      <c r="G302" s="5"/>
      <c r="H302" s="21" t="str">
        <f>IF(E302=""," - ",(IFERROR(VLOOKUP(E302,Prices!A:B,2,0),1)))</f>
        <v xml:space="preserve"> - </v>
      </c>
    </row>
    <row r="303" spans="1:8" x14ac:dyDescent="0.25">
      <c r="A303" s="3"/>
      <c r="B303" s="3"/>
      <c r="C303" s="18" t="str">
        <f t="shared" si="7"/>
        <v/>
      </c>
      <c r="D303" s="5">
        <v>301</v>
      </c>
      <c r="E303" s="5"/>
      <c r="F303" s="5"/>
      <c r="G303" s="5"/>
      <c r="H303" s="21" t="str">
        <f>IF(E303=""," - ",(IFERROR(VLOOKUP(E303,Prices!A:B,2,0),1)))</f>
        <v xml:space="preserve"> - </v>
      </c>
    </row>
    <row r="304" spans="1:8" x14ac:dyDescent="0.25">
      <c r="A304" s="3"/>
      <c r="B304" s="3"/>
      <c r="C304" s="18" t="str">
        <f t="shared" si="7"/>
        <v/>
      </c>
      <c r="D304" s="5">
        <v>302</v>
      </c>
      <c r="E304" s="5"/>
      <c r="F304" s="5"/>
      <c r="G304" s="5"/>
      <c r="H304" s="21" t="str">
        <f>IF(E304=""," - ",(IFERROR(VLOOKUP(E304,Prices!A:B,2,0),1)))</f>
        <v xml:space="preserve"> - </v>
      </c>
    </row>
    <row r="305" spans="1:8" x14ac:dyDescent="0.25">
      <c r="A305" s="3"/>
      <c r="B305" s="3"/>
      <c r="C305" s="18" t="str">
        <f t="shared" si="7"/>
        <v/>
      </c>
      <c r="D305" s="5">
        <v>303</v>
      </c>
      <c r="E305" s="5"/>
      <c r="F305" s="5"/>
      <c r="G305" s="5"/>
      <c r="H305" s="21" t="str">
        <f>IF(E305=""," - ",(IFERROR(VLOOKUP(E305,Prices!A:B,2,0),1)))</f>
        <v xml:space="preserve"> - </v>
      </c>
    </row>
    <row r="306" spans="1:8" x14ac:dyDescent="0.25">
      <c r="A306" s="3"/>
      <c r="B306" s="3"/>
      <c r="C306" s="18" t="str">
        <f t="shared" si="7"/>
        <v/>
      </c>
      <c r="D306" s="5">
        <v>304</v>
      </c>
      <c r="E306" s="5"/>
      <c r="F306" s="5"/>
      <c r="G306" s="5"/>
      <c r="H306" s="21" t="str">
        <f>IF(E306=""," - ",(IFERROR(VLOOKUP(E306,Prices!A:B,2,0),1)))</f>
        <v xml:space="preserve"> - </v>
      </c>
    </row>
    <row r="307" spans="1:8" x14ac:dyDescent="0.25">
      <c r="A307" s="3"/>
      <c r="B307" s="3"/>
      <c r="C307" s="18" t="str">
        <f t="shared" si="7"/>
        <v/>
      </c>
      <c r="D307" s="5">
        <v>305</v>
      </c>
      <c r="E307" s="5"/>
      <c r="F307" s="5"/>
      <c r="G307" s="5"/>
      <c r="H307" s="21" t="str">
        <f>IF(E307=""," - ",(IFERROR(VLOOKUP(E307,Prices!A:B,2,0),1)))</f>
        <v xml:space="preserve"> - </v>
      </c>
    </row>
    <row r="308" spans="1:8" x14ac:dyDescent="0.25">
      <c r="A308" s="3"/>
      <c r="B308" s="3"/>
      <c r="C308" s="18" t="str">
        <f t="shared" si="7"/>
        <v/>
      </c>
      <c r="D308" s="5">
        <v>306</v>
      </c>
      <c r="E308" s="5"/>
      <c r="F308" s="5"/>
      <c r="G308" s="5"/>
      <c r="H308" s="21" t="str">
        <f>IF(E308=""," - ",(IFERROR(VLOOKUP(E308,Prices!A:B,2,0),1)))</f>
        <v xml:space="preserve"> - </v>
      </c>
    </row>
    <row r="309" spans="1:8" x14ac:dyDescent="0.25">
      <c r="A309" s="3"/>
      <c r="B309" s="3"/>
      <c r="C309" s="18" t="str">
        <f t="shared" si="7"/>
        <v/>
      </c>
      <c r="D309" s="5">
        <v>307</v>
      </c>
      <c r="E309" s="5"/>
      <c r="F309" s="5"/>
      <c r="G309" s="5"/>
      <c r="H309" s="21" t="str">
        <f>IF(E309=""," - ",(IFERROR(VLOOKUP(E309,Prices!A:B,2,0),1)))</f>
        <v xml:space="preserve"> - </v>
      </c>
    </row>
    <row r="310" spans="1:8" x14ac:dyDescent="0.25">
      <c r="A310" s="3"/>
      <c r="B310" s="3"/>
      <c r="C310" s="18" t="str">
        <f t="shared" si="7"/>
        <v/>
      </c>
      <c r="D310" s="5">
        <v>308</v>
      </c>
      <c r="E310" s="5"/>
      <c r="F310" s="5"/>
      <c r="G310" s="5"/>
      <c r="H310" s="21" t="str">
        <f>IF(E310=""," - ",(IFERROR(VLOOKUP(E310,Prices!A:B,2,0),1)))</f>
        <v xml:space="preserve"> - </v>
      </c>
    </row>
    <row r="311" spans="1:8" x14ac:dyDescent="0.25">
      <c r="A311" s="3"/>
      <c r="B311" s="3"/>
      <c r="C311" s="18" t="str">
        <f t="shared" si="7"/>
        <v/>
      </c>
      <c r="D311" s="5">
        <v>309</v>
      </c>
      <c r="E311" s="5"/>
      <c r="F311" s="5"/>
      <c r="G311" s="5"/>
      <c r="H311" s="21" t="str">
        <f>IF(E311=""," - ",(IFERROR(VLOOKUP(E311,Prices!A:B,2,0),1)))</f>
        <v xml:space="preserve"> - </v>
      </c>
    </row>
    <row r="312" spans="1:8" x14ac:dyDescent="0.25">
      <c r="A312" s="3"/>
      <c r="B312" s="3"/>
      <c r="C312" s="18" t="str">
        <f t="shared" si="7"/>
        <v/>
      </c>
      <c r="D312" s="5">
        <v>310</v>
      </c>
      <c r="E312" s="5"/>
      <c r="F312" s="5"/>
      <c r="G312" s="5"/>
      <c r="H312" s="21" t="str">
        <f>IF(E312=""," - ",(IFERROR(VLOOKUP(E312,Prices!A:B,2,0),1)))</f>
        <v xml:space="preserve"> - </v>
      </c>
    </row>
    <row r="313" spans="1:8" x14ac:dyDescent="0.25">
      <c r="A313" s="3"/>
      <c r="B313" s="3"/>
      <c r="C313" s="18" t="str">
        <f t="shared" si="7"/>
        <v/>
      </c>
      <c r="D313" s="5">
        <v>311</v>
      </c>
      <c r="E313" s="5"/>
      <c r="F313" s="5"/>
      <c r="G313" s="5"/>
      <c r="H313" s="21" t="str">
        <f>IF(E313=""," - ",(IFERROR(VLOOKUP(E313,Prices!A:B,2,0),1)))</f>
        <v xml:space="preserve"> - </v>
      </c>
    </row>
    <row r="314" spans="1:8" x14ac:dyDescent="0.25">
      <c r="A314" s="3"/>
      <c r="B314" s="3"/>
      <c r="C314" s="18" t="str">
        <f t="shared" si="7"/>
        <v/>
      </c>
      <c r="D314" s="5">
        <v>312</v>
      </c>
      <c r="E314" s="5"/>
      <c r="F314" s="5"/>
      <c r="G314" s="5"/>
      <c r="H314" s="21" t="str">
        <f>IF(E314=""," - ",(IFERROR(VLOOKUP(E314,Prices!A:B,2,0),1)))</f>
        <v xml:space="preserve"> - </v>
      </c>
    </row>
    <row r="315" spans="1:8" x14ac:dyDescent="0.25">
      <c r="A315" s="3"/>
      <c r="B315" s="3"/>
      <c r="C315" s="18" t="str">
        <f t="shared" si="7"/>
        <v/>
      </c>
      <c r="D315" s="5">
        <v>313</v>
      </c>
      <c r="E315" s="5"/>
      <c r="F315" s="5"/>
      <c r="G315" s="5"/>
      <c r="H315" s="21" t="str">
        <f>IF(E315=""," - ",(IFERROR(VLOOKUP(E315,Prices!A:B,2,0),1)))</f>
        <v xml:space="preserve"> - </v>
      </c>
    </row>
    <row r="316" spans="1:8" x14ac:dyDescent="0.25">
      <c r="A316" s="3"/>
      <c r="B316" s="3"/>
      <c r="C316" s="18" t="str">
        <f t="shared" si="7"/>
        <v/>
      </c>
      <c r="D316" s="5">
        <v>314</v>
      </c>
      <c r="E316" s="5"/>
      <c r="F316" s="5"/>
      <c r="G316" s="5"/>
      <c r="H316" s="21" t="str">
        <f>IF(E316=""," - ",(IFERROR(VLOOKUP(E316,Prices!A:B,2,0),1)))</f>
        <v xml:space="preserve"> - </v>
      </c>
    </row>
    <row r="317" spans="1:8" x14ac:dyDescent="0.25">
      <c r="A317" s="3"/>
      <c r="B317" s="3"/>
      <c r="C317" s="18" t="str">
        <f t="shared" si="7"/>
        <v/>
      </c>
      <c r="D317" s="5">
        <v>315</v>
      </c>
      <c r="E317" s="5"/>
      <c r="F317" s="5"/>
      <c r="G317" s="5"/>
      <c r="H317" s="21" t="str">
        <f>IF(E317=""," - ",(IFERROR(VLOOKUP(E317,Prices!A:B,2,0),1)))</f>
        <v xml:space="preserve"> - </v>
      </c>
    </row>
    <row r="318" spans="1:8" x14ac:dyDescent="0.25">
      <c r="A318" s="3"/>
      <c r="B318" s="3"/>
      <c r="C318" s="18" t="str">
        <f t="shared" si="7"/>
        <v/>
      </c>
      <c r="D318" s="5">
        <v>316</v>
      </c>
      <c r="E318" s="5"/>
      <c r="F318" s="5"/>
      <c r="G318" s="5"/>
      <c r="H318" s="21" t="str">
        <f>IF(E318=""," - ",(IFERROR(VLOOKUP(E318,Prices!A:B,2,0),1)))</f>
        <v xml:space="preserve"> - </v>
      </c>
    </row>
    <row r="319" spans="1:8" x14ac:dyDescent="0.25">
      <c r="A319" s="3"/>
      <c r="B319" s="3"/>
      <c r="C319" s="18" t="str">
        <f t="shared" si="7"/>
        <v/>
      </c>
      <c r="D319" s="5">
        <v>317</v>
      </c>
      <c r="E319" s="5"/>
      <c r="F319" s="5"/>
      <c r="G319" s="5"/>
      <c r="H319" s="21" t="str">
        <f>IF(E319=""," - ",(IFERROR(VLOOKUP(E319,Prices!A:B,2,0),1)))</f>
        <v xml:space="preserve"> - </v>
      </c>
    </row>
    <row r="320" spans="1:8" x14ac:dyDescent="0.25">
      <c r="A320" s="3"/>
      <c r="B320" s="3"/>
      <c r="C320" s="18" t="str">
        <f t="shared" si="7"/>
        <v/>
      </c>
      <c r="D320" s="5">
        <v>318</v>
      </c>
      <c r="E320" s="5"/>
      <c r="F320" s="5"/>
      <c r="G320" s="5"/>
      <c r="H320" s="21" t="str">
        <f>IF(E320=""," - ",(IFERROR(VLOOKUP(E320,Prices!A:B,2,0),1)))</f>
        <v xml:space="preserve"> - </v>
      </c>
    </row>
    <row r="321" spans="1:8" x14ac:dyDescent="0.25">
      <c r="A321" s="3"/>
      <c r="B321" s="3"/>
      <c r="C321" s="18" t="str">
        <f t="shared" si="7"/>
        <v/>
      </c>
      <c r="D321" s="5">
        <v>319</v>
      </c>
      <c r="E321" s="5"/>
      <c r="F321" s="5"/>
      <c r="G321" s="5"/>
      <c r="H321" s="21" t="str">
        <f>IF(E321=""," - ",(IFERROR(VLOOKUP(E321,Prices!A:B,2,0),1)))</f>
        <v xml:space="preserve"> - </v>
      </c>
    </row>
    <row r="322" spans="1:8" x14ac:dyDescent="0.25">
      <c r="A322" s="3"/>
      <c r="B322" s="3"/>
      <c r="C322" s="18" t="str">
        <f t="shared" si="7"/>
        <v/>
      </c>
      <c r="D322" s="5">
        <v>320</v>
      </c>
      <c r="E322" s="5"/>
      <c r="F322" s="5"/>
      <c r="G322" s="5"/>
      <c r="H322" s="21" t="str">
        <f>IF(E322=""," - ",(IFERROR(VLOOKUP(E322,Prices!A:B,2,0),1)))</f>
        <v xml:space="preserve"> - </v>
      </c>
    </row>
    <row r="323" spans="1:8" x14ac:dyDescent="0.25">
      <c r="A323" s="3"/>
      <c r="B323" s="3"/>
      <c r="C323" s="18" t="str">
        <f t="shared" si="7"/>
        <v/>
      </c>
      <c r="D323" s="5">
        <v>321</v>
      </c>
      <c r="E323" s="5"/>
      <c r="F323" s="5"/>
      <c r="G323" s="5"/>
      <c r="H323" s="21" t="str">
        <f>IF(E323=""," - ",(IFERROR(VLOOKUP(E323,Prices!A:B,2,0),1)))</f>
        <v xml:space="preserve"> - </v>
      </c>
    </row>
    <row r="324" spans="1:8" x14ac:dyDescent="0.25">
      <c r="A324" s="3"/>
      <c r="B324" s="3"/>
      <c r="C324" s="18" t="str">
        <f t="shared" ref="C324:C387" si="8">IFERROR(IF(MATCH($B$3,D:D)-2=D324,"à",""),"")</f>
        <v/>
      </c>
      <c r="D324" s="5">
        <v>322</v>
      </c>
      <c r="E324" s="5"/>
      <c r="F324" s="5"/>
      <c r="G324" s="5"/>
      <c r="H324" s="21" t="str">
        <f>IF(E324=""," - ",(IFERROR(VLOOKUP(E324,Prices!A:B,2,0),1)))</f>
        <v xml:space="preserve"> - </v>
      </c>
    </row>
    <row r="325" spans="1:8" x14ac:dyDescent="0.25">
      <c r="A325" s="3"/>
      <c r="B325" s="3"/>
      <c r="C325" s="18" t="str">
        <f t="shared" si="8"/>
        <v/>
      </c>
      <c r="D325" s="5">
        <v>323</v>
      </c>
      <c r="E325" s="5"/>
      <c r="F325" s="5"/>
      <c r="G325" s="5"/>
      <c r="H325" s="21" t="str">
        <f>IF(E325=""," - ",(IFERROR(VLOOKUP(E325,Prices!A:B,2,0),1)))</f>
        <v xml:space="preserve"> - </v>
      </c>
    </row>
    <row r="326" spans="1:8" x14ac:dyDescent="0.25">
      <c r="A326" s="3"/>
      <c r="B326" s="3"/>
      <c r="C326" s="18" t="str">
        <f t="shared" si="8"/>
        <v/>
      </c>
      <c r="D326" s="5">
        <v>324</v>
      </c>
      <c r="E326" s="5"/>
      <c r="F326" s="5"/>
      <c r="G326" s="5"/>
      <c r="H326" s="21" t="str">
        <f>IF(E326=""," - ",(IFERROR(VLOOKUP(E326,Prices!A:B,2,0),1)))</f>
        <v xml:space="preserve"> - </v>
      </c>
    </row>
    <row r="327" spans="1:8" x14ac:dyDescent="0.25">
      <c r="A327" s="3"/>
      <c r="B327" s="3"/>
      <c r="C327" s="18" t="str">
        <f t="shared" si="8"/>
        <v/>
      </c>
      <c r="D327" s="5">
        <v>325</v>
      </c>
      <c r="E327" s="5"/>
      <c r="F327" s="5"/>
      <c r="G327" s="5"/>
      <c r="H327" s="21" t="str">
        <f>IF(E327=""," - ",(IFERROR(VLOOKUP(E327,Prices!A:B,2,0),1)))</f>
        <v xml:space="preserve"> - </v>
      </c>
    </row>
    <row r="328" spans="1:8" x14ac:dyDescent="0.25">
      <c r="A328" s="3"/>
      <c r="B328" s="3"/>
      <c r="C328" s="18" t="str">
        <f t="shared" si="8"/>
        <v/>
      </c>
      <c r="D328" s="5">
        <v>326</v>
      </c>
      <c r="E328" s="5"/>
      <c r="F328" s="5"/>
      <c r="G328" s="5"/>
      <c r="H328" s="21" t="str">
        <f>IF(E328=""," - ",(IFERROR(VLOOKUP(E328,Prices!A:B,2,0),1)))</f>
        <v xml:space="preserve"> - </v>
      </c>
    </row>
    <row r="329" spans="1:8" x14ac:dyDescent="0.25">
      <c r="A329" s="3"/>
      <c r="B329" s="3"/>
      <c r="C329" s="18" t="str">
        <f t="shared" si="8"/>
        <v/>
      </c>
      <c r="D329" s="5">
        <v>327</v>
      </c>
      <c r="E329" s="5"/>
      <c r="F329" s="5"/>
      <c r="G329" s="5"/>
      <c r="H329" s="21" t="str">
        <f>IF(E329=""," - ",(IFERROR(VLOOKUP(E329,Prices!A:B,2,0),1)))</f>
        <v xml:space="preserve"> - </v>
      </c>
    </row>
    <row r="330" spans="1:8" x14ac:dyDescent="0.25">
      <c r="A330" s="3"/>
      <c r="B330" s="3"/>
      <c r="C330" s="18" t="str">
        <f t="shared" si="8"/>
        <v/>
      </c>
      <c r="D330" s="5">
        <v>328</v>
      </c>
      <c r="E330" s="5"/>
      <c r="F330" s="5"/>
      <c r="G330" s="5"/>
      <c r="H330" s="21" t="str">
        <f>IF(E330=""," - ",(IFERROR(VLOOKUP(E330,Prices!A:B,2,0),1)))</f>
        <v xml:space="preserve"> - </v>
      </c>
    </row>
    <row r="331" spans="1:8" x14ac:dyDescent="0.25">
      <c r="A331" s="3"/>
      <c r="B331" s="3"/>
      <c r="C331" s="18" t="str">
        <f t="shared" si="8"/>
        <v/>
      </c>
      <c r="D331" s="5">
        <v>329</v>
      </c>
      <c r="E331" s="5"/>
      <c r="F331" s="5"/>
      <c r="G331" s="5"/>
      <c r="H331" s="21" t="str">
        <f>IF(E331=""," - ",(IFERROR(VLOOKUP(E331,Prices!A:B,2,0),1)))</f>
        <v xml:space="preserve"> - </v>
      </c>
    </row>
    <row r="332" spans="1:8" x14ac:dyDescent="0.25">
      <c r="A332" s="3"/>
      <c r="B332" s="3"/>
      <c r="C332" s="18" t="str">
        <f t="shared" si="8"/>
        <v/>
      </c>
      <c r="D332" s="5">
        <v>330</v>
      </c>
      <c r="E332" s="5"/>
      <c r="F332" s="5"/>
      <c r="G332" s="5"/>
      <c r="H332" s="21" t="str">
        <f>IF(E332=""," - ",(IFERROR(VLOOKUP(E332,Prices!A:B,2,0),1)))</f>
        <v xml:space="preserve"> - </v>
      </c>
    </row>
    <row r="333" spans="1:8" x14ac:dyDescent="0.25">
      <c r="A333" s="3"/>
      <c r="B333" s="3"/>
      <c r="C333" s="18" t="str">
        <f t="shared" si="8"/>
        <v/>
      </c>
      <c r="D333" s="5">
        <v>331</v>
      </c>
      <c r="E333" s="5"/>
      <c r="F333" s="5"/>
      <c r="G333" s="5"/>
      <c r="H333" s="21" t="str">
        <f>IF(E333=""," - ",(IFERROR(VLOOKUP(E333,Prices!A:B,2,0),1)))</f>
        <v xml:space="preserve"> - </v>
      </c>
    </row>
    <row r="334" spans="1:8" x14ac:dyDescent="0.25">
      <c r="A334" s="3"/>
      <c r="B334" s="3"/>
      <c r="C334" s="18" t="str">
        <f t="shared" si="8"/>
        <v/>
      </c>
      <c r="D334" s="5">
        <v>332</v>
      </c>
      <c r="E334" s="5"/>
      <c r="F334" s="5"/>
      <c r="G334" s="5"/>
      <c r="H334" s="21" t="str">
        <f>IF(E334=""," - ",(IFERROR(VLOOKUP(E334,Prices!A:B,2,0),1)))</f>
        <v xml:space="preserve"> - </v>
      </c>
    </row>
    <row r="335" spans="1:8" x14ac:dyDescent="0.25">
      <c r="A335" s="3"/>
      <c r="B335" s="3"/>
      <c r="C335" s="18" t="str">
        <f t="shared" si="8"/>
        <v/>
      </c>
      <c r="D335" s="5">
        <v>333</v>
      </c>
      <c r="E335" s="5"/>
      <c r="F335" s="5"/>
      <c r="G335" s="5"/>
      <c r="H335" s="21" t="str">
        <f>IF(E335=""," - ",(IFERROR(VLOOKUP(E335,Prices!A:B,2,0),1)))</f>
        <v xml:space="preserve"> - </v>
      </c>
    </row>
    <row r="336" spans="1:8" x14ac:dyDescent="0.25">
      <c r="A336" s="3"/>
      <c r="B336" s="3"/>
      <c r="C336" s="18" t="str">
        <f t="shared" si="8"/>
        <v/>
      </c>
      <c r="D336" s="5">
        <v>334</v>
      </c>
      <c r="E336" s="5"/>
      <c r="F336" s="5"/>
      <c r="G336" s="5"/>
      <c r="H336" s="21" t="str">
        <f>IF(E336=""," - ",(IFERROR(VLOOKUP(E336,Prices!A:B,2,0),1)))</f>
        <v xml:space="preserve"> - </v>
      </c>
    </row>
    <row r="337" spans="1:8" x14ac:dyDescent="0.25">
      <c r="A337" s="3"/>
      <c r="B337" s="3"/>
      <c r="C337" s="18" t="str">
        <f t="shared" si="8"/>
        <v/>
      </c>
      <c r="D337" s="5">
        <v>335</v>
      </c>
      <c r="E337" s="5"/>
      <c r="F337" s="5"/>
      <c r="G337" s="5"/>
      <c r="H337" s="21" t="str">
        <f>IF(E337=""," - ",(IFERROR(VLOOKUP(E337,Prices!A:B,2,0),1)))</f>
        <v xml:space="preserve"> - </v>
      </c>
    </row>
    <row r="338" spans="1:8" x14ac:dyDescent="0.25">
      <c r="A338" s="3"/>
      <c r="B338" s="3"/>
      <c r="C338" s="18" t="str">
        <f t="shared" si="8"/>
        <v/>
      </c>
      <c r="D338" s="5">
        <v>336</v>
      </c>
      <c r="E338" s="5"/>
      <c r="F338" s="5"/>
      <c r="G338" s="5"/>
      <c r="H338" s="21" t="str">
        <f>IF(E338=""," - ",(IFERROR(VLOOKUP(E338,Prices!A:B,2,0),1)))</f>
        <v xml:space="preserve"> - </v>
      </c>
    </row>
    <row r="339" spans="1:8" x14ac:dyDescent="0.25">
      <c r="A339" s="3"/>
      <c r="B339" s="3"/>
      <c r="C339" s="18" t="str">
        <f t="shared" si="8"/>
        <v/>
      </c>
      <c r="D339" s="5">
        <v>337</v>
      </c>
      <c r="E339" s="5"/>
      <c r="F339" s="5"/>
      <c r="G339" s="5"/>
      <c r="H339" s="21" t="str">
        <f>IF(E339=""," - ",(IFERROR(VLOOKUP(E339,Prices!A:B,2,0),1)))</f>
        <v xml:space="preserve"> - </v>
      </c>
    </row>
    <row r="340" spans="1:8" x14ac:dyDescent="0.25">
      <c r="A340" s="3"/>
      <c r="B340" s="3"/>
      <c r="C340" s="18" t="str">
        <f t="shared" si="8"/>
        <v/>
      </c>
      <c r="D340" s="5">
        <v>338</v>
      </c>
      <c r="E340" s="5"/>
      <c r="F340" s="5"/>
      <c r="G340" s="5"/>
      <c r="H340" s="21" t="str">
        <f>IF(E340=""," - ",(IFERROR(VLOOKUP(E340,Prices!A:B,2,0),1)))</f>
        <v xml:space="preserve"> - </v>
      </c>
    </row>
    <row r="341" spans="1:8" x14ac:dyDescent="0.25">
      <c r="A341" s="3"/>
      <c r="B341" s="3"/>
      <c r="C341" s="18" t="str">
        <f t="shared" si="8"/>
        <v/>
      </c>
      <c r="D341" s="5">
        <v>339</v>
      </c>
      <c r="E341" s="5"/>
      <c r="F341" s="5"/>
      <c r="G341" s="5"/>
      <c r="H341" s="21" t="str">
        <f>IF(E341=""," - ",(IFERROR(VLOOKUP(E341,Prices!A:B,2,0),1)))</f>
        <v xml:space="preserve"> - </v>
      </c>
    </row>
    <row r="342" spans="1:8" x14ac:dyDescent="0.25">
      <c r="A342" s="3"/>
      <c r="B342" s="3"/>
      <c r="C342" s="18" t="str">
        <f t="shared" si="8"/>
        <v/>
      </c>
      <c r="D342" s="5">
        <v>340</v>
      </c>
      <c r="E342" s="5"/>
      <c r="F342" s="5"/>
      <c r="G342" s="5"/>
      <c r="H342" s="21" t="str">
        <f>IF(E342=""," - ",(IFERROR(VLOOKUP(E342,Prices!A:B,2,0),1)))</f>
        <v xml:space="preserve"> - </v>
      </c>
    </row>
    <row r="343" spans="1:8" x14ac:dyDescent="0.25">
      <c r="A343" s="3"/>
      <c r="B343" s="3"/>
      <c r="C343" s="18" t="str">
        <f t="shared" si="8"/>
        <v/>
      </c>
      <c r="D343" s="5">
        <v>341</v>
      </c>
      <c r="E343" s="5"/>
      <c r="F343" s="5"/>
      <c r="G343" s="5"/>
      <c r="H343" s="21" t="str">
        <f>IF(E343=""," - ",(IFERROR(VLOOKUP(E343,Prices!A:B,2,0),1)))</f>
        <v xml:space="preserve"> - </v>
      </c>
    </row>
    <row r="344" spans="1:8" x14ac:dyDescent="0.25">
      <c r="A344" s="3"/>
      <c r="B344" s="3"/>
      <c r="C344" s="18" t="str">
        <f t="shared" si="8"/>
        <v/>
      </c>
      <c r="D344" s="5">
        <v>342</v>
      </c>
      <c r="E344" s="5"/>
      <c r="F344" s="5"/>
      <c r="G344" s="5"/>
      <c r="H344" s="21" t="str">
        <f>IF(E344=""," - ",(IFERROR(VLOOKUP(E344,Prices!A:B,2,0),1)))</f>
        <v xml:space="preserve"> - </v>
      </c>
    </row>
    <row r="345" spans="1:8" x14ac:dyDescent="0.25">
      <c r="A345" s="3"/>
      <c r="B345" s="3"/>
      <c r="C345" s="18" t="str">
        <f t="shared" si="8"/>
        <v/>
      </c>
      <c r="D345" s="5">
        <v>343</v>
      </c>
      <c r="E345" s="5"/>
      <c r="F345" s="5"/>
      <c r="G345" s="5"/>
      <c r="H345" s="21" t="str">
        <f>IF(E345=""," - ",(IFERROR(VLOOKUP(E345,Prices!A:B,2,0),1)))</f>
        <v xml:space="preserve"> - </v>
      </c>
    </row>
    <row r="346" spans="1:8" x14ac:dyDescent="0.25">
      <c r="A346" s="3"/>
      <c r="B346" s="3"/>
      <c r="C346" s="18" t="str">
        <f t="shared" si="8"/>
        <v/>
      </c>
      <c r="D346" s="5">
        <v>344</v>
      </c>
      <c r="E346" s="5"/>
      <c r="F346" s="5"/>
      <c r="G346" s="5"/>
      <c r="H346" s="21" t="str">
        <f>IF(E346=""," - ",(IFERROR(VLOOKUP(E346,Prices!A:B,2,0),1)))</f>
        <v xml:space="preserve"> - </v>
      </c>
    </row>
    <row r="347" spans="1:8" x14ac:dyDescent="0.25">
      <c r="A347" s="3"/>
      <c r="B347" s="3"/>
      <c r="C347" s="18" t="str">
        <f t="shared" si="8"/>
        <v/>
      </c>
      <c r="D347" s="5">
        <v>345</v>
      </c>
      <c r="E347" s="5"/>
      <c r="F347" s="5"/>
      <c r="G347" s="5"/>
      <c r="H347" s="21" t="str">
        <f>IF(E347=""," - ",(IFERROR(VLOOKUP(E347,Prices!A:B,2,0),1)))</f>
        <v xml:space="preserve"> - </v>
      </c>
    </row>
    <row r="348" spans="1:8" x14ac:dyDescent="0.25">
      <c r="A348" s="3"/>
      <c r="B348" s="3"/>
      <c r="C348" s="18" t="str">
        <f t="shared" si="8"/>
        <v/>
      </c>
      <c r="D348" s="5">
        <v>346</v>
      </c>
      <c r="E348" s="5"/>
      <c r="F348" s="5"/>
      <c r="G348" s="5"/>
      <c r="H348" s="21" t="str">
        <f>IF(E348=""," - ",(IFERROR(VLOOKUP(E348,Prices!A:B,2,0),1)))</f>
        <v xml:space="preserve"> - </v>
      </c>
    </row>
    <row r="349" spans="1:8" x14ac:dyDescent="0.25">
      <c r="A349" s="3"/>
      <c r="B349" s="3"/>
      <c r="C349" s="18" t="str">
        <f t="shared" si="8"/>
        <v/>
      </c>
      <c r="D349" s="5">
        <v>347</v>
      </c>
      <c r="E349" s="5"/>
      <c r="F349" s="5"/>
      <c r="G349" s="5"/>
      <c r="H349" s="21" t="str">
        <f>IF(E349=""," - ",(IFERROR(VLOOKUP(E349,Prices!A:B,2,0),1)))</f>
        <v xml:space="preserve"> - </v>
      </c>
    </row>
    <row r="350" spans="1:8" x14ac:dyDescent="0.25">
      <c r="A350" s="3"/>
      <c r="B350" s="3"/>
      <c r="C350" s="18" t="str">
        <f t="shared" si="8"/>
        <v/>
      </c>
      <c r="D350" s="5">
        <v>348</v>
      </c>
      <c r="E350" s="5"/>
      <c r="F350" s="5"/>
      <c r="G350" s="5"/>
      <c r="H350" s="21" t="str">
        <f>IF(E350=""," - ",(IFERROR(VLOOKUP(E350,Prices!A:B,2,0),1)))</f>
        <v xml:space="preserve"> - </v>
      </c>
    </row>
    <row r="351" spans="1:8" x14ac:dyDescent="0.25">
      <c r="A351" s="3"/>
      <c r="B351" s="3"/>
      <c r="C351" s="18" t="str">
        <f t="shared" si="8"/>
        <v/>
      </c>
      <c r="D351" s="5">
        <v>349</v>
      </c>
      <c r="E351" s="5"/>
      <c r="F351" s="5"/>
      <c r="G351" s="5"/>
      <c r="H351" s="21" t="str">
        <f>IF(E351=""," - ",(IFERROR(VLOOKUP(E351,Prices!A:B,2,0),1)))</f>
        <v xml:space="preserve"> - </v>
      </c>
    </row>
    <row r="352" spans="1:8" x14ac:dyDescent="0.25">
      <c r="A352" s="3"/>
      <c r="B352" s="3"/>
      <c r="C352" s="18" t="str">
        <f t="shared" si="8"/>
        <v/>
      </c>
      <c r="D352" s="5">
        <v>350</v>
      </c>
      <c r="E352" s="5"/>
      <c r="F352" s="5"/>
      <c r="G352" s="5"/>
      <c r="H352" s="21" t="str">
        <f>IF(E352=""," - ",(IFERROR(VLOOKUP(E352,Prices!A:B,2,0),1)))</f>
        <v xml:space="preserve"> - </v>
      </c>
    </row>
    <row r="353" spans="1:8" x14ac:dyDescent="0.25">
      <c r="A353" s="3"/>
      <c r="B353" s="3"/>
      <c r="C353" s="18" t="str">
        <f t="shared" si="8"/>
        <v/>
      </c>
      <c r="D353" s="5">
        <v>351</v>
      </c>
      <c r="E353" s="5"/>
      <c r="F353" s="5"/>
      <c r="G353" s="5"/>
      <c r="H353" s="21" t="str">
        <f>IF(E353=""," - ",(IFERROR(VLOOKUP(E353,Prices!A:B,2,0),1)))</f>
        <v xml:space="preserve"> - </v>
      </c>
    </row>
    <row r="354" spans="1:8" x14ac:dyDescent="0.25">
      <c r="A354" s="3"/>
      <c r="B354" s="3"/>
      <c r="C354" s="18" t="str">
        <f t="shared" si="8"/>
        <v/>
      </c>
      <c r="D354" s="5">
        <v>352</v>
      </c>
      <c r="E354" s="5"/>
      <c r="F354" s="5"/>
      <c r="G354" s="5"/>
      <c r="H354" s="21" t="str">
        <f>IF(E354=""," - ",(IFERROR(VLOOKUP(E354,Prices!A:B,2,0),1)))</f>
        <v xml:space="preserve"> - </v>
      </c>
    </row>
    <row r="355" spans="1:8" x14ac:dyDescent="0.25">
      <c r="A355" s="3"/>
      <c r="B355" s="3"/>
      <c r="C355" s="18" t="str">
        <f t="shared" si="8"/>
        <v/>
      </c>
      <c r="D355" s="5">
        <v>353</v>
      </c>
      <c r="E355" s="5"/>
      <c r="F355" s="5"/>
      <c r="G355" s="5"/>
      <c r="H355" s="21" t="str">
        <f>IF(E355=""," - ",(IFERROR(VLOOKUP(E355,Prices!A:B,2,0),1)))</f>
        <v xml:space="preserve"> - </v>
      </c>
    </row>
    <row r="356" spans="1:8" x14ac:dyDescent="0.25">
      <c r="A356" s="3"/>
      <c r="B356" s="3"/>
      <c r="C356" s="18" t="str">
        <f t="shared" si="8"/>
        <v/>
      </c>
      <c r="D356" s="5">
        <v>354</v>
      </c>
      <c r="E356" s="5"/>
      <c r="F356" s="5"/>
      <c r="G356" s="5"/>
      <c r="H356" s="21" t="str">
        <f>IF(E356=""," - ",(IFERROR(VLOOKUP(E356,Prices!A:B,2,0),1)))</f>
        <v xml:space="preserve"> - </v>
      </c>
    </row>
    <row r="357" spans="1:8" x14ac:dyDescent="0.25">
      <c r="A357" s="3"/>
      <c r="B357" s="3"/>
      <c r="C357" s="18" t="str">
        <f t="shared" si="8"/>
        <v/>
      </c>
      <c r="D357" s="5">
        <v>355</v>
      </c>
      <c r="E357" s="5"/>
      <c r="F357" s="5"/>
      <c r="G357" s="5"/>
      <c r="H357" s="21" t="str">
        <f>IF(E357=""," - ",(IFERROR(VLOOKUP(E357,Prices!A:B,2,0),1)))</f>
        <v xml:space="preserve"> - </v>
      </c>
    </row>
    <row r="358" spans="1:8" x14ac:dyDescent="0.25">
      <c r="A358" s="3"/>
      <c r="B358" s="3"/>
      <c r="C358" s="18" t="str">
        <f t="shared" si="8"/>
        <v/>
      </c>
      <c r="D358" s="5">
        <v>356</v>
      </c>
      <c r="E358" s="5"/>
      <c r="F358" s="5"/>
      <c r="G358" s="5"/>
      <c r="H358" s="21" t="str">
        <f>IF(E358=""," - ",(IFERROR(VLOOKUP(E358,Prices!A:B,2,0),1)))</f>
        <v xml:space="preserve"> - </v>
      </c>
    </row>
    <row r="359" spans="1:8" x14ac:dyDescent="0.25">
      <c r="A359" s="3"/>
      <c r="B359" s="3"/>
      <c r="C359" s="18" t="str">
        <f t="shared" si="8"/>
        <v/>
      </c>
      <c r="D359" s="5">
        <v>357</v>
      </c>
      <c r="E359" s="5"/>
      <c r="F359" s="5"/>
      <c r="G359" s="5"/>
      <c r="H359" s="21" t="str">
        <f>IF(E359=""," - ",(IFERROR(VLOOKUP(E359,Prices!A:B,2,0),1)))</f>
        <v xml:space="preserve"> - </v>
      </c>
    </row>
    <row r="360" spans="1:8" x14ac:dyDescent="0.25">
      <c r="A360" s="3"/>
      <c r="B360" s="3"/>
      <c r="C360" s="18" t="str">
        <f t="shared" si="8"/>
        <v/>
      </c>
      <c r="D360" s="5">
        <v>358</v>
      </c>
      <c r="E360" s="5"/>
      <c r="F360" s="5"/>
      <c r="G360" s="5"/>
      <c r="H360" s="21" t="str">
        <f>IF(E360=""," - ",(IFERROR(VLOOKUP(E360,Prices!A:B,2,0),1)))</f>
        <v xml:space="preserve"> - </v>
      </c>
    </row>
    <row r="361" spans="1:8" x14ac:dyDescent="0.25">
      <c r="A361" s="3"/>
      <c r="B361" s="3"/>
      <c r="C361" s="18" t="str">
        <f t="shared" si="8"/>
        <v/>
      </c>
      <c r="D361" s="5">
        <v>359</v>
      </c>
      <c r="E361" s="5"/>
      <c r="F361" s="5"/>
      <c r="G361" s="5"/>
      <c r="H361" s="21" t="str">
        <f>IF(E361=""," - ",(IFERROR(VLOOKUP(E361,Prices!A:B,2,0),1)))</f>
        <v xml:space="preserve"> - </v>
      </c>
    </row>
    <row r="362" spans="1:8" x14ac:dyDescent="0.25">
      <c r="A362" s="3"/>
      <c r="B362" s="3"/>
      <c r="C362" s="18" t="str">
        <f t="shared" si="8"/>
        <v/>
      </c>
      <c r="D362" s="5">
        <v>360</v>
      </c>
      <c r="E362" s="5"/>
      <c r="F362" s="5"/>
      <c r="G362" s="5"/>
      <c r="H362" s="21" t="str">
        <f>IF(E362=""," - ",(IFERROR(VLOOKUP(E362,Prices!A:B,2,0),1)))</f>
        <v xml:space="preserve"> - </v>
      </c>
    </row>
    <row r="363" spans="1:8" x14ac:dyDescent="0.25">
      <c r="A363" s="3"/>
      <c r="B363" s="3"/>
      <c r="C363" s="18" t="str">
        <f t="shared" si="8"/>
        <v/>
      </c>
      <c r="D363" s="5">
        <v>361</v>
      </c>
      <c r="E363" s="5"/>
      <c r="F363" s="5"/>
      <c r="G363" s="5"/>
      <c r="H363" s="21" t="str">
        <f>IF(E363=""," - ",(IFERROR(VLOOKUP(E363,Prices!A:B,2,0),1)))</f>
        <v xml:space="preserve"> - </v>
      </c>
    </row>
    <row r="364" spans="1:8" x14ac:dyDescent="0.25">
      <c r="A364" s="3"/>
      <c r="B364" s="3"/>
      <c r="C364" s="18" t="str">
        <f t="shared" si="8"/>
        <v/>
      </c>
      <c r="D364" s="5">
        <v>362</v>
      </c>
      <c r="E364" s="5"/>
      <c r="F364" s="5"/>
      <c r="G364" s="5"/>
      <c r="H364" s="21" t="str">
        <f>IF(E364=""," - ",(IFERROR(VLOOKUP(E364,Prices!A:B,2,0),1)))</f>
        <v xml:space="preserve"> - </v>
      </c>
    </row>
    <row r="365" spans="1:8" x14ac:dyDescent="0.25">
      <c r="A365" s="3"/>
      <c r="B365" s="3"/>
      <c r="C365" s="18" t="str">
        <f t="shared" si="8"/>
        <v/>
      </c>
      <c r="D365" s="5">
        <v>363</v>
      </c>
      <c r="E365" s="5"/>
      <c r="F365" s="5"/>
      <c r="G365" s="5"/>
      <c r="H365" s="21" t="str">
        <f>IF(E365=""," - ",(IFERROR(VLOOKUP(E365,Prices!A:B,2,0),1)))</f>
        <v xml:space="preserve"> - </v>
      </c>
    </row>
    <row r="366" spans="1:8" x14ac:dyDescent="0.25">
      <c r="A366" s="3"/>
      <c r="B366" s="3"/>
      <c r="C366" s="18" t="str">
        <f t="shared" si="8"/>
        <v/>
      </c>
      <c r="D366" s="5">
        <v>364</v>
      </c>
      <c r="E366" s="5"/>
      <c r="F366" s="5"/>
      <c r="G366" s="5"/>
      <c r="H366" s="21" t="str">
        <f>IF(E366=""," - ",(IFERROR(VLOOKUP(E366,Prices!A:B,2,0),1)))</f>
        <v xml:space="preserve"> - </v>
      </c>
    </row>
    <row r="367" spans="1:8" x14ac:dyDescent="0.25">
      <c r="A367" s="3"/>
      <c r="B367" s="3"/>
      <c r="C367" s="18" t="str">
        <f t="shared" si="8"/>
        <v/>
      </c>
      <c r="D367" s="5">
        <v>365</v>
      </c>
      <c r="E367" s="5"/>
      <c r="F367" s="5"/>
      <c r="G367" s="5"/>
      <c r="H367" s="21" t="str">
        <f>IF(E367=""," - ",(IFERROR(VLOOKUP(E367,Prices!A:B,2,0),1)))</f>
        <v xml:space="preserve"> - </v>
      </c>
    </row>
    <row r="368" spans="1:8" x14ac:dyDescent="0.25">
      <c r="A368" s="3"/>
      <c r="B368" s="3"/>
      <c r="C368" s="18" t="str">
        <f t="shared" si="8"/>
        <v/>
      </c>
      <c r="D368" s="5">
        <v>366</v>
      </c>
      <c r="E368" s="5"/>
      <c r="F368" s="5"/>
      <c r="G368" s="5"/>
      <c r="H368" s="21" t="str">
        <f>IF(E368=""," - ",(IFERROR(VLOOKUP(E368,Prices!A:B,2,0),1)))</f>
        <v xml:space="preserve"> - </v>
      </c>
    </row>
    <row r="369" spans="1:8" x14ac:dyDescent="0.25">
      <c r="A369" s="3"/>
      <c r="B369" s="3"/>
      <c r="C369" s="18" t="str">
        <f t="shared" si="8"/>
        <v/>
      </c>
      <c r="D369" s="5">
        <v>367</v>
      </c>
      <c r="E369" s="5"/>
      <c r="F369" s="5"/>
      <c r="G369" s="5"/>
      <c r="H369" s="21" t="str">
        <f>IF(E369=""," - ",(IFERROR(VLOOKUP(E369,Prices!A:B,2,0),1)))</f>
        <v xml:space="preserve"> - </v>
      </c>
    </row>
    <row r="370" spans="1:8" x14ac:dyDescent="0.25">
      <c r="A370" s="3"/>
      <c r="B370" s="3"/>
      <c r="C370" s="18" t="str">
        <f t="shared" si="8"/>
        <v/>
      </c>
      <c r="D370" s="5">
        <v>368</v>
      </c>
      <c r="E370" s="5"/>
      <c r="F370" s="5"/>
      <c r="G370" s="5"/>
      <c r="H370" s="21" t="str">
        <f>IF(E370=""," - ",(IFERROR(VLOOKUP(E370,Prices!A:B,2,0),1)))</f>
        <v xml:space="preserve"> - </v>
      </c>
    </row>
    <row r="371" spans="1:8" x14ac:dyDescent="0.25">
      <c r="A371" s="3"/>
      <c r="B371" s="3"/>
      <c r="C371" s="18" t="str">
        <f t="shared" si="8"/>
        <v/>
      </c>
      <c r="D371" s="5">
        <v>369</v>
      </c>
      <c r="E371" s="5"/>
      <c r="F371" s="5"/>
      <c r="G371" s="5"/>
      <c r="H371" s="21" t="str">
        <f>IF(E371=""," - ",(IFERROR(VLOOKUP(E371,Prices!A:B,2,0),1)))</f>
        <v xml:space="preserve"> - </v>
      </c>
    </row>
    <row r="372" spans="1:8" x14ac:dyDescent="0.25">
      <c r="A372" s="3"/>
      <c r="B372" s="3"/>
      <c r="C372" s="18" t="str">
        <f t="shared" si="8"/>
        <v/>
      </c>
      <c r="D372" s="5">
        <v>370</v>
      </c>
      <c r="E372" s="5"/>
      <c r="F372" s="5"/>
      <c r="G372" s="5"/>
      <c r="H372" s="21" t="str">
        <f>IF(E372=""," - ",(IFERROR(VLOOKUP(E372,Prices!A:B,2,0),1)))</f>
        <v xml:space="preserve"> - </v>
      </c>
    </row>
    <row r="373" spans="1:8" x14ac:dyDescent="0.25">
      <c r="A373" s="3"/>
      <c r="B373" s="3"/>
      <c r="C373" s="18" t="str">
        <f t="shared" si="8"/>
        <v/>
      </c>
      <c r="D373" s="5">
        <v>371</v>
      </c>
      <c r="E373" s="5"/>
      <c r="F373" s="5"/>
      <c r="G373" s="5"/>
      <c r="H373" s="21" t="str">
        <f>IF(E373=""," - ",(IFERROR(VLOOKUP(E373,Prices!A:B,2,0),1)))</f>
        <v xml:space="preserve"> - </v>
      </c>
    </row>
    <row r="374" spans="1:8" x14ac:dyDescent="0.25">
      <c r="A374" s="3"/>
      <c r="B374" s="3"/>
      <c r="C374" s="18" t="str">
        <f t="shared" si="8"/>
        <v/>
      </c>
      <c r="D374" s="5">
        <v>372</v>
      </c>
      <c r="E374" s="5"/>
      <c r="F374" s="5"/>
      <c r="G374" s="5"/>
      <c r="H374" s="21" t="str">
        <f>IF(E374=""," - ",(IFERROR(VLOOKUP(E374,Prices!A:B,2,0),1)))</f>
        <v xml:space="preserve"> - </v>
      </c>
    </row>
    <row r="375" spans="1:8" x14ac:dyDescent="0.25">
      <c r="A375" s="3"/>
      <c r="B375" s="3"/>
      <c r="C375" s="18" t="str">
        <f t="shared" si="8"/>
        <v/>
      </c>
      <c r="D375" s="5">
        <v>373</v>
      </c>
      <c r="E375" s="5"/>
      <c r="F375" s="5"/>
      <c r="G375" s="5"/>
      <c r="H375" s="21" t="str">
        <f>IF(E375=""," - ",(IFERROR(VLOOKUP(E375,Prices!A:B,2,0),1)))</f>
        <v xml:space="preserve"> - </v>
      </c>
    </row>
    <row r="376" spans="1:8" x14ac:dyDescent="0.25">
      <c r="A376" s="3"/>
      <c r="B376" s="3"/>
      <c r="C376" s="18" t="str">
        <f t="shared" si="8"/>
        <v/>
      </c>
      <c r="D376" s="5">
        <v>374</v>
      </c>
      <c r="E376" s="5"/>
      <c r="F376" s="5"/>
      <c r="G376" s="5"/>
      <c r="H376" s="21" t="str">
        <f>IF(E376=""," - ",(IFERROR(VLOOKUP(E376,Prices!A:B,2,0),1)))</f>
        <v xml:space="preserve"> - </v>
      </c>
    </row>
    <row r="377" spans="1:8" x14ac:dyDescent="0.25">
      <c r="A377" s="3"/>
      <c r="B377" s="3"/>
      <c r="C377" s="18" t="str">
        <f t="shared" si="8"/>
        <v/>
      </c>
      <c r="D377" s="5">
        <v>375</v>
      </c>
      <c r="E377" s="5"/>
      <c r="F377" s="5"/>
      <c r="G377" s="5"/>
      <c r="H377" s="21" t="str">
        <f>IF(E377=""," - ",(IFERROR(VLOOKUP(E377,Prices!A:B,2,0),1)))</f>
        <v xml:space="preserve"> - </v>
      </c>
    </row>
    <row r="378" spans="1:8" x14ac:dyDescent="0.25">
      <c r="A378" s="3"/>
      <c r="B378" s="3"/>
      <c r="C378" s="18" t="str">
        <f t="shared" si="8"/>
        <v/>
      </c>
      <c r="D378" s="5">
        <v>376</v>
      </c>
      <c r="E378" s="5"/>
      <c r="F378" s="5"/>
      <c r="G378" s="5"/>
      <c r="H378" s="21" t="str">
        <f>IF(E378=""," - ",(IFERROR(VLOOKUP(E378,Prices!A:B,2,0),1)))</f>
        <v xml:space="preserve"> - </v>
      </c>
    </row>
    <row r="379" spans="1:8" x14ac:dyDescent="0.25">
      <c r="A379" s="3"/>
      <c r="B379" s="3"/>
      <c r="C379" s="18" t="str">
        <f t="shared" si="8"/>
        <v/>
      </c>
      <c r="D379" s="5">
        <v>377</v>
      </c>
      <c r="E379" s="5"/>
      <c r="F379" s="5"/>
      <c r="G379" s="5"/>
      <c r="H379" s="21" t="str">
        <f>IF(E379=""," - ",(IFERROR(VLOOKUP(E379,Prices!A:B,2,0),1)))</f>
        <v xml:space="preserve"> - </v>
      </c>
    </row>
    <row r="380" spans="1:8" x14ac:dyDescent="0.25">
      <c r="A380" s="3"/>
      <c r="B380" s="3"/>
      <c r="C380" s="18" t="str">
        <f t="shared" si="8"/>
        <v/>
      </c>
      <c r="D380" s="5">
        <v>378</v>
      </c>
      <c r="E380" s="5"/>
      <c r="F380" s="5"/>
      <c r="G380" s="5"/>
      <c r="H380" s="21" t="str">
        <f>IF(E380=""," - ",(IFERROR(VLOOKUP(E380,Prices!A:B,2,0),1)))</f>
        <v xml:space="preserve"> - </v>
      </c>
    </row>
    <row r="381" spans="1:8" x14ac:dyDescent="0.25">
      <c r="A381" s="3"/>
      <c r="B381" s="3"/>
      <c r="C381" s="18" t="str">
        <f t="shared" si="8"/>
        <v/>
      </c>
      <c r="D381" s="5">
        <v>379</v>
      </c>
      <c r="E381" s="5"/>
      <c r="F381" s="5"/>
      <c r="G381" s="5"/>
      <c r="H381" s="21" t="str">
        <f>IF(E381=""," - ",(IFERROR(VLOOKUP(E381,Prices!A:B,2,0),1)))</f>
        <v xml:space="preserve"> - </v>
      </c>
    </row>
    <row r="382" spans="1:8" x14ac:dyDescent="0.25">
      <c r="A382" s="3"/>
      <c r="B382" s="3"/>
      <c r="C382" s="18" t="str">
        <f t="shared" si="8"/>
        <v/>
      </c>
      <c r="D382" s="5">
        <v>380</v>
      </c>
      <c r="E382" s="5"/>
      <c r="F382" s="5"/>
      <c r="G382" s="5"/>
      <c r="H382" s="21" t="str">
        <f>IF(E382=""," - ",(IFERROR(VLOOKUP(E382,Prices!A:B,2,0),1)))</f>
        <v xml:space="preserve"> - </v>
      </c>
    </row>
    <row r="383" spans="1:8" x14ac:dyDescent="0.25">
      <c r="A383" s="3"/>
      <c r="B383" s="3"/>
      <c r="C383" s="18" t="str">
        <f t="shared" si="8"/>
        <v/>
      </c>
      <c r="D383" s="5">
        <v>381</v>
      </c>
      <c r="E383" s="5"/>
      <c r="F383" s="5"/>
      <c r="G383" s="5"/>
      <c r="H383" s="21" t="str">
        <f>IF(E383=""," - ",(IFERROR(VLOOKUP(E383,Prices!A:B,2,0),1)))</f>
        <v xml:space="preserve"> - </v>
      </c>
    </row>
    <row r="384" spans="1:8" x14ac:dyDescent="0.25">
      <c r="A384" s="3"/>
      <c r="B384" s="3"/>
      <c r="C384" s="18" t="str">
        <f t="shared" si="8"/>
        <v/>
      </c>
      <c r="D384" s="5">
        <v>382</v>
      </c>
      <c r="E384" s="5"/>
      <c r="F384" s="5"/>
      <c r="G384" s="5"/>
      <c r="H384" s="21" t="str">
        <f>IF(E384=""," - ",(IFERROR(VLOOKUP(E384,Prices!A:B,2,0),1)))</f>
        <v xml:space="preserve"> - </v>
      </c>
    </row>
    <row r="385" spans="1:8" x14ac:dyDescent="0.25">
      <c r="A385" s="3"/>
      <c r="B385" s="3"/>
      <c r="C385" s="18" t="str">
        <f t="shared" si="8"/>
        <v/>
      </c>
      <c r="D385" s="5">
        <v>383</v>
      </c>
      <c r="E385" s="5"/>
      <c r="F385" s="5"/>
      <c r="G385" s="5"/>
      <c r="H385" s="21" t="str">
        <f>IF(E385=""," - ",(IFERROR(VLOOKUP(E385,Prices!A:B,2,0),1)))</f>
        <v xml:space="preserve"> - </v>
      </c>
    </row>
    <row r="386" spans="1:8" x14ac:dyDescent="0.25">
      <c r="A386" s="3"/>
      <c r="B386" s="3"/>
      <c r="C386" s="18" t="str">
        <f t="shared" si="8"/>
        <v/>
      </c>
      <c r="D386" s="5">
        <v>384</v>
      </c>
      <c r="E386" s="5"/>
      <c r="F386" s="5"/>
      <c r="G386" s="5"/>
      <c r="H386" s="21" t="str">
        <f>IF(E386=""," - ",(IFERROR(VLOOKUP(E386,Prices!A:B,2,0),1)))</f>
        <v xml:space="preserve"> - </v>
      </c>
    </row>
    <row r="387" spans="1:8" x14ac:dyDescent="0.25">
      <c r="A387" s="3"/>
      <c r="B387" s="3"/>
      <c r="C387" s="18" t="str">
        <f t="shared" si="8"/>
        <v/>
      </c>
      <c r="D387" s="5">
        <v>385</v>
      </c>
      <c r="E387" s="5"/>
      <c r="F387" s="5"/>
      <c r="G387" s="5"/>
      <c r="H387" s="21" t="str">
        <f>IF(E387=""," - ",(IFERROR(VLOOKUP(E387,Prices!A:B,2,0),1)))</f>
        <v xml:space="preserve"> - </v>
      </c>
    </row>
    <row r="388" spans="1:8" x14ac:dyDescent="0.25">
      <c r="A388" s="3"/>
      <c r="B388" s="3"/>
      <c r="C388" s="18" t="str">
        <f t="shared" ref="C388:C451" si="9">IFERROR(IF(MATCH($B$3,D:D)-2=D388,"à",""),"")</f>
        <v/>
      </c>
      <c r="D388" s="5">
        <v>386</v>
      </c>
      <c r="E388" s="5"/>
      <c r="F388" s="5"/>
      <c r="G388" s="5"/>
      <c r="H388" s="21" t="str">
        <f>IF(E388=""," - ",(IFERROR(VLOOKUP(E388,Prices!A:B,2,0),1)))</f>
        <v xml:space="preserve"> - </v>
      </c>
    </row>
    <row r="389" spans="1:8" x14ac:dyDescent="0.25">
      <c r="A389" s="3"/>
      <c r="B389" s="3"/>
      <c r="C389" s="18" t="str">
        <f t="shared" si="9"/>
        <v/>
      </c>
      <c r="D389" s="5">
        <v>387</v>
      </c>
      <c r="E389" s="5"/>
      <c r="F389" s="5"/>
      <c r="G389" s="5"/>
      <c r="H389" s="21" t="str">
        <f>IF(E389=""," - ",(IFERROR(VLOOKUP(E389,Prices!A:B,2,0),1)))</f>
        <v xml:space="preserve"> - </v>
      </c>
    </row>
    <row r="390" spans="1:8" x14ac:dyDescent="0.25">
      <c r="A390" s="3"/>
      <c r="B390" s="3"/>
      <c r="C390" s="18" t="str">
        <f t="shared" si="9"/>
        <v/>
      </c>
      <c r="D390" s="5">
        <v>388</v>
      </c>
      <c r="E390" s="5"/>
      <c r="F390" s="5"/>
      <c r="G390" s="5"/>
      <c r="H390" s="21" t="str">
        <f>IF(E390=""," - ",(IFERROR(VLOOKUP(E390,Prices!A:B,2,0),1)))</f>
        <v xml:space="preserve"> - </v>
      </c>
    </row>
    <row r="391" spans="1:8" x14ac:dyDescent="0.25">
      <c r="A391" s="3"/>
      <c r="B391" s="3"/>
      <c r="C391" s="18" t="str">
        <f t="shared" si="9"/>
        <v/>
      </c>
      <c r="D391" s="5">
        <v>389</v>
      </c>
      <c r="E391" s="5"/>
      <c r="F391" s="5"/>
      <c r="G391" s="5"/>
      <c r="H391" s="21" t="str">
        <f>IF(E391=""," - ",(IFERROR(VLOOKUP(E391,Prices!A:B,2,0),1)))</f>
        <v xml:space="preserve"> - </v>
      </c>
    </row>
    <row r="392" spans="1:8" x14ac:dyDescent="0.25">
      <c r="A392" s="3"/>
      <c r="B392" s="3"/>
      <c r="C392" s="18" t="str">
        <f t="shared" si="9"/>
        <v/>
      </c>
      <c r="D392" s="5">
        <v>390</v>
      </c>
      <c r="E392" s="5"/>
      <c r="F392" s="5"/>
      <c r="G392" s="5"/>
      <c r="H392" s="21" t="str">
        <f>IF(E392=""," - ",(IFERROR(VLOOKUP(E392,Prices!A:B,2,0),1)))</f>
        <v xml:space="preserve"> - </v>
      </c>
    </row>
    <row r="393" spans="1:8" x14ac:dyDescent="0.25">
      <c r="A393" s="3"/>
      <c r="B393" s="3"/>
      <c r="C393" s="18" t="str">
        <f t="shared" si="9"/>
        <v/>
      </c>
      <c r="D393" s="5">
        <v>391</v>
      </c>
      <c r="E393" s="5"/>
      <c r="F393" s="5"/>
      <c r="G393" s="5"/>
      <c r="H393" s="21" t="str">
        <f>IF(E393=""," - ",(IFERROR(VLOOKUP(E393,Prices!A:B,2,0),1)))</f>
        <v xml:space="preserve"> - </v>
      </c>
    </row>
    <row r="394" spans="1:8" x14ac:dyDescent="0.25">
      <c r="A394" s="3"/>
      <c r="B394" s="3"/>
      <c r="C394" s="18" t="str">
        <f t="shared" si="9"/>
        <v/>
      </c>
      <c r="D394" s="5">
        <v>392</v>
      </c>
      <c r="E394" s="5"/>
      <c r="F394" s="5"/>
      <c r="G394" s="5"/>
      <c r="H394" s="21" t="str">
        <f>IF(E394=""," - ",(IFERROR(VLOOKUP(E394,Prices!A:B,2,0),1)))</f>
        <v xml:space="preserve"> - </v>
      </c>
    </row>
    <row r="395" spans="1:8" x14ac:dyDescent="0.25">
      <c r="A395" s="3"/>
      <c r="B395" s="3"/>
      <c r="C395" s="18" t="str">
        <f t="shared" si="9"/>
        <v/>
      </c>
      <c r="D395" s="5">
        <v>393</v>
      </c>
      <c r="E395" s="5"/>
      <c r="F395" s="5"/>
      <c r="G395" s="5"/>
      <c r="H395" s="21" t="str">
        <f>IF(E395=""," - ",(IFERROR(VLOOKUP(E395,Prices!A:B,2,0),1)))</f>
        <v xml:space="preserve"> - </v>
      </c>
    </row>
    <row r="396" spans="1:8" x14ac:dyDescent="0.25">
      <c r="A396" s="3"/>
      <c r="B396" s="3"/>
      <c r="C396" s="18" t="str">
        <f t="shared" si="9"/>
        <v/>
      </c>
      <c r="D396" s="5">
        <v>394</v>
      </c>
      <c r="E396" s="5"/>
      <c r="F396" s="5"/>
      <c r="G396" s="5"/>
      <c r="H396" s="21" t="str">
        <f>IF(E396=""," - ",(IFERROR(VLOOKUP(E396,Prices!A:B,2,0),1)))</f>
        <v xml:space="preserve"> - </v>
      </c>
    </row>
    <row r="397" spans="1:8" x14ac:dyDescent="0.25">
      <c r="A397" s="3"/>
      <c r="B397" s="3"/>
      <c r="C397" s="18" t="str">
        <f t="shared" si="9"/>
        <v/>
      </c>
      <c r="D397" s="5">
        <v>395</v>
      </c>
      <c r="E397" s="5"/>
      <c r="F397" s="5"/>
      <c r="G397" s="5"/>
      <c r="H397" s="21" t="str">
        <f>IF(E397=""," - ",(IFERROR(VLOOKUP(E397,Prices!A:B,2,0),1)))</f>
        <v xml:space="preserve"> - </v>
      </c>
    </row>
    <row r="398" spans="1:8" x14ac:dyDescent="0.25">
      <c r="A398" s="3"/>
      <c r="B398" s="3"/>
      <c r="C398" s="18" t="str">
        <f t="shared" si="9"/>
        <v/>
      </c>
      <c r="D398" s="5">
        <v>396</v>
      </c>
      <c r="E398" s="5"/>
      <c r="F398" s="5"/>
      <c r="G398" s="5"/>
      <c r="H398" s="21" t="str">
        <f>IF(E398=""," - ",(IFERROR(VLOOKUP(E398,Prices!A:B,2,0),1)))</f>
        <v xml:space="preserve"> - </v>
      </c>
    </row>
    <row r="399" spans="1:8" x14ac:dyDescent="0.25">
      <c r="A399" s="3"/>
      <c r="B399" s="3"/>
      <c r="C399" s="18" t="str">
        <f t="shared" si="9"/>
        <v/>
      </c>
      <c r="D399" s="5">
        <v>397</v>
      </c>
      <c r="E399" s="5"/>
      <c r="F399" s="5"/>
      <c r="G399" s="5"/>
      <c r="H399" s="21" t="str">
        <f>IF(E399=""," - ",(IFERROR(VLOOKUP(E399,Prices!A:B,2,0),1)))</f>
        <v xml:space="preserve"> - </v>
      </c>
    </row>
    <row r="400" spans="1:8" x14ac:dyDescent="0.25">
      <c r="A400" s="3"/>
      <c r="B400" s="3"/>
      <c r="C400" s="18" t="str">
        <f t="shared" si="9"/>
        <v/>
      </c>
      <c r="D400" s="5">
        <v>398</v>
      </c>
      <c r="E400" s="5"/>
      <c r="F400" s="5"/>
      <c r="G400" s="5"/>
      <c r="H400" s="21" t="str">
        <f>IF(E400=""," - ",(IFERROR(VLOOKUP(E400,Prices!A:B,2,0),1)))</f>
        <v xml:space="preserve"> - </v>
      </c>
    </row>
    <row r="401" spans="1:8" x14ac:dyDescent="0.25">
      <c r="A401" s="3"/>
      <c r="B401" s="3"/>
      <c r="C401" s="18" t="str">
        <f t="shared" si="9"/>
        <v/>
      </c>
      <c r="D401" s="5">
        <v>399</v>
      </c>
      <c r="E401" s="5"/>
      <c r="F401" s="5"/>
      <c r="G401" s="5"/>
      <c r="H401" s="21" t="str">
        <f>IF(E401=""," - ",(IFERROR(VLOOKUP(E401,Prices!A:B,2,0),1)))</f>
        <v xml:space="preserve"> - </v>
      </c>
    </row>
    <row r="402" spans="1:8" x14ac:dyDescent="0.25">
      <c r="A402" s="3"/>
      <c r="B402" s="3"/>
      <c r="C402" s="18" t="str">
        <f t="shared" si="9"/>
        <v/>
      </c>
      <c r="D402" s="5">
        <v>400</v>
      </c>
      <c r="E402" s="5"/>
      <c r="F402" s="5"/>
      <c r="G402" s="5"/>
      <c r="H402" s="21" t="str">
        <f>IF(E402=""," - ",(IFERROR(VLOOKUP(E402,Prices!A:B,2,0),1)))</f>
        <v xml:space="preserve"> - </v>
      </c>
    </row>
    <row r="403" spans="1:8" x14ac:dyDescent="0.25">
      <c r="A403" s="3"/>
      <c r="B403" s="3"/>
      <c r="C403" s="18" t="str">
        <f t="shared" si="9"/>
        <v/>
      </c>
      <c r="D403" s="5">
        <v>401</v>
      </c>
      <c r="E403" s="5"/>
      <c r="F403" s="5"/>
      <c r="G403" s="5"/>
      <c r="H403" s="21" t="str">
        <f>IF(E403=""," - ",(IFERROR(VLOOKUP(E403,Prices!A:B,2,0),1)))</f>
        <v xml:space="preserve"> - </v>
      </c>
    </row>
    <row r="404" spans="1:8" x14ac:dyDescent="0.25">
      <c r="A404" s="3"/>
      <c r="B404" s="3"/>
      <c r="C404" s="18" t="str">
        <f t="shared" si="9"/>
        <v/>
      </c>
      <c r="D404" s="5">
        <v>402</v>
      </c>
      <c r="E404" s="5"/>
      <c r="F404" s="5"/>
      <c r="G404" s="5"/>
      <c r="H404" s="21" t="str">
        <f>IF(E404=""," - ",(IFERROR(VLOOKUP(E404,Prices!A:B,2,0),1)))</f>
        <v xml:space="preserve"> - </v>
      </c>
    </row>
    <row r="405" spans="1:8" x14ac:dyDescent="0.25">
      <c r="A405" s="3"/>
      <c r="B405" s="3"/>
      <c r="C405" s="18" t="str">
        <f t="shared" si="9"/>
        <v/>
      </c>
      <c r="D405" s="5">
        <v>403</v>
      </c>
      <c r="E405" s="5"/>
      <c r="F405" s="5"/>
      <c r="G405" s="5"/>
      <c r="H405" s="21" t="str">
        <f>IF(E405=""," - ",(IFERROR(VLOOKUP(E405,Prices!A:B,2,0),1)))</f>
        <v xml:space="preserve"> - </v>
      </c>
    </row>
    <row r="406" spans="1:8" x14ac:dyDescent="0.25">
      <c r="A406" s="3"/>
      <c r="B406" s="3"/>
      <c r="C406" s="18" t="str">
        <f t="shared" si="9"/>
        <v/>
      </c>
      <c r="D406" s="5">
        <v>404</v>
      </c>
      <c r="E406" s="5"/>
      <c r="F406" s="5"/>
      <c r="G406" s="5"/>
      <c r="H406" s="21" t="str">
        <f>IF(E406=""," - ",(IFERROR(VLOOKUP(E406,Prices!A:B,2,0),1)))</f>
        <v xml:space="preserve"> - </v>
      </c>
    </row>
    <row r="407" spans="1:8" x14ac:dyDescent="0.25">
      <c r="A407" s="3"/>
      <c r="B407" s="3"/>
      <c r="C407" s="18" t="str">
        <f t="shared" si="9"/>
        <v/>
      </c>
      <c r="D407" s="5">
        <v>405</v>
      </c>
      <c r="E407" s="5"/>
      <c r="F407" s="5"/>
      <c r="G407" s="5"/>
      <c r="H407" s="21" t="str">
        <f>IF(E407=""," - ",(IFERROR(VLOOKUP(E407,Prices!A:B,2,0),1)))</f>
        <v xml:space="preserve"> - </v>
      </c>
    </row>
    <row r="408" spans="1:8" x14ac:dyDescent="0.25">
      <c r="A408" s="3"/>
      <c r="B408" s="3"/>
      <c r="C408" s="18" t="str">
        <f t="shared" si="9"/>
        <v/>
      </c>
      <c r="D408" s="5">
        <v>406</v>
      </c>
      <c r="E408" s="5"/>
      <c r="F408" s="5"/>
      <c r="G408" s="5"/>
      <c r="H408" s="21" t="str">
        <f>IF(E408=""," - ",(IFERROR(VLOOKUP(E408,Prices!A:B,2,0),1)))</f>
        <v xml:space="preserve"> - </v>
      </c>
    </row>
    <row r="409" spans="1:8" x14ac:dyDescent="0.25">
      <c r="A409" s="3"/>
      <c r="B409" s="3"/>
      <c r="C409" s="18" t="str">
        <f t="shared" si="9"/>
        <v/>
      </c>
      <c r="D409" s="5">
        <v>407</v>
      </c>
      <c r="E409" s="5"/>
      <c r="F409" s="5"/>
      <c r="G409" s="5"/>
      <c r="H409" s="21" t="str">
        <f>IF(E409=""," - ",(IFERROR(VLOOKUP(E409,Prices!A:B,2,0),1)))</f>
        <v xml:space="preserve"> - </v>
      </c>
    </row>
    <row r="410" spans="1:8" x14ac:dyDescent="0.25">
      <c r="A410" s="3"/>
      <c r="B410" s="3"/>
      <c r="C410" s="18" t="str">
        <f t="shared" si="9"/>
        <v/>
      </c>
      <c r="D410" s="5">
        <v>408</v>
      </c>
      <c r="E410" s="5"/>
      <c r="F410" s="5"/>
      <c r="G410" s="5"/>
      <c r="H410" s="21" t="str">
        <f>IF(E410=""," - ",(IFERROR(VLOOKUP(E410,Prices!A:B,2,0),1)))</f>
        <v xml:space="preserve"> - </v>
      </c>
    </row>
    <row r="411" spans="1:8" x14ac:dyDescent="0.25">
      <c r="A411" s="3"/>
      <c r="B411" s="3"/>
      <c r="C411" s="18" t="str">
        <f t="shared" si="9"/>
        <v/>
      </c>
      <c r="D411" s="5">
        <v>409</v>
      </c>
      <c r="E411" s="5"/>
      <c r="F411" s="5"/>
      <c r="G411" s="5"/>
      <c r="H411" s="21" t="str">
        <f>IF(E411=""," - ",(IFERROR(VLOOKUP(E411,Prices!A:B,2,0),1)))</f>
        <v xml:space="preserve"> - </v>
      </c>
    </row>
    <row r="412" spans="1:8" x14ac:dyDescent="0.25">
      <c r="A412" s="3"/>
      <c r="B412" s="3"/>
      <c r="C412" s="18" t="str">
        <f t="shared" si="9"/>
        <v/>
      </c>
      <c r="D412" s="5">
        <v>410</v>
      </c>
      <c r="E412" s="5"/>
      <c r="F412" s="5"/>
      <c r="G412" s="5"/>
      <c r="H412" s="21" t="str">
        <f>IF(E412=""," - ",(IFERROR(VLOOKUP(E412,Prices!A:B,2,0),1)))</f>
        <v xml:space="preserve"> - </v>
      </c>
    </row>
    <row r="413" spans="1:8" x14ac:dyDescent="0.25">
      <c r="A413" s="3"/>
      <c r="B413" s="3"/>
      <c r="C413" s="18" t="str">
        <f t="shared" si="9"/>
        <v/>
      </c>
      <c r="D413" s="5">
        <v>411</v>
      </c>
      <c r="E413" s="5"/>
      <c r="F413" s="5"/>
      <c r="G413" s="5"/>
      <c r="H413" s="21" t="str">
        <f>IF(E413=""," - ",(IFERROR(VLOOKUP(E413,Prices!A:B,2,0),1)))</f>
        <v xml:space="preserve"> - </v>
      </c>
    </row>
    <row r="414" spans="1:8" x14ac:dyDescent="0.25">
      <c r="A414" s="3"/>
      <c r="B414" s="3"/>
      <c r="C414" s="18" t="str">
        <f t="shared" si="9"/>
        <v/>
      </c>
      <c r="D414" s="5">
        <v>412</v>
      </c>
      <c r="E414" s="5"/>
      <c r="F414" s="5"/>
      <c r="G414" s="5"/>
      <c r="H414" s="21" t="str">
        <f>IF(E414=""," - ",(IFERROR(VLOOKUP(E414,Prices!A:B,2,0),1)))</f>
        <v xml:space="preserve"> - </v>
      </c>
    </row>
    <row r="415" spans="1:8" x14ac:dyDescent="0.25">
      <c r="A415" s="3"/>
      <c r="B415" s="3"/>
      <c r="C415" s="18" t="str">
        <f t="shared" si="9"/>
        <v/>
      </c>
      <c r="D415" s="5">
        <v>413</v>
      </c>
      <c r="E415" s="5"/>
      <c r="F415" s="5"/>
      <c r="G415" s="5"/>
      <c r="H415" s="21" t="str">
        <f>IF(E415=""," - ",(IFERROR(VLOOKUP(E415,Prices!A:B,2,0),1)))</f>
        <v xml:space="preserve"> - </v>
      </c>
    </row>
    <row r="416" spans="1:8" x14ac:dyDescent="0.25">
      <c r="A416" s="3"/>
      <c r="B416" s="3"/>
      <c r="C416" s="18" t="str">
        <f t="shared" si="9"/>
        <v/>
      </c>
      <c r="D416" s="5">
        <v>414</v>
      </c>
      <c r="E416" s="5"/>
      <c r="F416" s="5"/>
      <c r="G416" s="5"/>
      <c r="H416" s="21" t="str">
        <f>IF(E416=""," - ",(IFERROR(VLOOKUP(E416,Prices!A:B,2,0),1)))</f>
        <v xml:space="preserve"> - </v>
      </c>
    </row>
    <row r="417" spans="1:8" x14ac:dyDescent="0.25">
      <c r="A417" s="3"/>
      <c r="B417" s="3"/>
      <c r="C417" s="18" t="str">
        <f t="shared" si="9"/>
        <v/>
      </c>
      <c r="D417" s="5">
        <v>415</v>
      </c>
      <c r="E417" s="5"/>
      <c r="F417" s="5"/>
      <c r="G417" s="5"/>
      <c r="H417" s="21" t="str">
        <f>IF(E417=""," - ",(IFERROR(VLOOKUP(E417,Prices!A:B,2,0),1)))</f>
        <v xml:space="preserve"> - </v>
      </c>
    </row>
    <row r="418" spans="1:8" x14ac:dyDescent="0.25">
      <c r="A418" s="3"/>
      <c r="B418" s="3"/>
      <c r="C418" s="18" t="str">
        <f t="shared" si="9"/>
        <v/>
      </c>
      <c r="D418" s="5">
        <v>416</v>
      </c>
      <c r="E418" s="5"/>
      <c r="F418" s="5"/>
      <c r="G418" s="5"/>
      <c r="H418" s="21" t="str">
        <f>IF(E418=""," - ",(IFERROR(VLOOKUP(E418,Prices!A:B,2,0),1)))</f>
        <v xml:space="preserve"> - </v>
      </c>
    </row>
    <row r="419" spans="1:8" x14ac:dyDescent="0.25">
      <c r="A419" s="3"/>
      <c r="B419" s="3"/>
      <c r="C419" s="18" t="str">
        <f t="shared" si="9"/>
        <v/>
      </c>
      <c r="D419" s="5">
        <v>417</v>
      </c>
      <c r="E419" s="5"/>
      <c r="F419" s="5"/>
      <c r="G419" s="5"/>
      <c r="H419" s="21" t="str">
        <f>IF(E419=""," - ",(IFERROR(VLOOKUP(E419,Prices!A:B,2,0),1)))</f>
        <v xml:space="preserve"> - </v>
      </c>
    </row>
    <row r="420" spans="1:8" x14ac:dyDescent="0.25">
      <c r="A420" s="3"/>
      <c r="B420" s="3"/>
      <c r="C420" s="18" t="str">
        <f t="shared" si="9"/>
        <v/>
      </c>
      <c r="D420" s="5">
        <v>418</v>
      </c>
      <c r="E420" s="5"/>
      <c r="F420" s="5"/>
      <c r="G420" s="5"/>
      <c r="H420" s="21" t="str">
        <f>IF(E420=""," - ",(IFERROR(VLOOKUP(E420,Prices!A:B,2,0),1)))</f>
        <v xml:space="preserve"> - </v>
      </c>
    </row>
    <row r="421" spans="1:8" x14ac:dyDescent="0.25">
      <c r="A421" s="3"/>
      <c r="B421" s="3"/>
      <c r="C421" s="18" t="str">
        <f t="shared" si="9"/>
        <v/>
      </c>
      <c r="D421" s="5">
        <v>419</v>
      </c>
      <c r="E421" s="5"/>
      <c r="F421" s="5"/>
      <c r="G421" s="5"/>
      <c r="H421" s="21" t="str">
        <f>IF(E421=""," - ",(IFERROR(VLOOKUP(E421,Prices!A:B,2,0),1)))</f>
        <v xml:space="preserve"> - </v>
      </c>
    </row>
    <row r="422" spans="1:8" x14ac:dyDescent="0.25">
      <c r="A422" s="3"/>
      <c r="B422" s="3"/>
      <c r="C422" s="18" t="str">
        <f t="shared" si="9"/>
        <v/>
      </c>
      <c r="D422" s="5">
        <v>420</v>
      </c>
      <c r="E422" s="5"/>
      <c r="F422" s="5"/>
      <c r="G422" s="5"/>
      <c r="H422" s="21" t="str">
        <f>IF(E422=""," - ",(IFERROR(VLOOKUP(E422,Prices!A:B,2,0),1)))</f>
        <v xml:space="preserve"> - </v>
      </c>
    </row>
    <row r="423" spans="1:8" x14ac:dyDescent="0.25">
      <c r="A423" s="3"/>
      <c r="B423" s="3"/>
      <c r="C423" s="18" t="str">
        <f t="shared" si="9"/>
        <v/>
      </c>
      <c r="D423" s="5">
        <v>421</v>
      </c>
      <c r="E423" s="5"/>
      <c r="F423" s="5"/>
      <c r="G423" s="5"/>
      <c r="H423" s="21" t="str">
        <f>IF(E423=""," - ",(IFERROR(VLOOKUP(E423,Prices!A:B,2,0),1)))</f>
        <v xml:space="preserve"> - </v>
      </c>
    </row>
    <row r="424" spans="1:8" x14ac:dyDescent="0.25">
      <c r="A424" s="3"/>
      <c r="B424" s="3"/>
      <c r="C424" s="18" t="str">
        <f t="shared" si="9"/>
        <v/>
      </c>
      <c r="D424" s="5">
        <v>422</v>
      </c>
      <c r="E424" s="5"/>
      <c r="F424" s="5"/>
      <c r="G424" s="5"/>
      <c r="H424" s="21" t="str">
        <f>IF(E424=""," - ",(IFERROR(VLOOKUP(E424,Prices!A:B,2,0),1)))</f>
        <v xml:space="preserve"> - </v>
      </c>
    </row>
    <row r="425" spans="1:8" x14ac:dyDescent="0.25">
      <c r="A425" s="3"/>
      <c r="B425" s="3"/>
      <c r="C425" s="18" t="str">
        <f t="shared" si="9"/>
        <v/>
      </c>
      <c r="D425" s="5">
        <v>423</v>
      </c>
      <c r="E425" s="5"/>
      <c r="F425" s="5"/>
      <c r="G425" s="5"/>
      <c r="H425" s="21" t="str">
        <f>IF(E425=""," - ",(IFERROR(VLOOKUP(E425,Prices!A:B,2,0),1)))</f>
        <v xml:space="preserve"> - </v>
      </c>
    </row>
    <row r="426" spans="1:8" x14ac:dyDescent="0.25">
      <c r="A426" s="3"/>
      <c r="B426" s="3"/>
      <c r="C426" s="18" t="str">
        <f t="shared" si="9"/>
        <v/>
      </c>
      <c r="D426" s="5">
        <v>424</v>
      </c>
      <c r="E426" s="5"/>
      <c r="F426" s="5"/>
      <c r="G426" s="5"/>
      <c r="H426" s="21" t="str">
        <f>IF(E426=""," - ",(IFERROR(VLOOKUP(E426,Prices!A:B,2,0),1)))</f>
        <v xml:space="preserve"> - </v>
      </c>
    </row>
    <row r="427" spans="1:8" x14ac:dyDescent="0.25">
      <c r="A427" s="3"/>
      <c r="B427" s="3"/>
      <c r="C427" s="18" t="str">
        <f t="shared" si="9"/>
        <v/>
      </c>
      <c r="D427" s="5">
        <v>425</v>
      </c>
      <c r="E427" s="5"/>
      <c r="F427" s="5"/>
      <c r="G427" s="5"/>
      <c r="H427" s="21" t="str">
        <f>IF(E427=""," - ",(IFERROR(VLOOKUP(E427,Prices!A:B,2,0),1)))</f>
        <v xml:space="preserve"> - </v>
      </c>
    </row>
    <row r="428" spans="1:8" x14ac:dyDescent="0.25">
      <c r="A428" s="3"/>
      <c r="B428" s="3"/>
      <c r="C428" s="18" t="str">
        <f t="shared" si="9"/>
        <v/>
      </c>
      <c r="D428" s="5">
        <v>426</v>
      </c>
      <c r="E428" s="5"/>
      <c r="F428" s="5"/>
      <c r="G428" s="5"/>
      <c r="H428" s="21" t="str">
        <f>IF(E428=""," - ",(IFERROR(VLOOKUP(E428,Prices!A:B,2,0),1)))</f>
        <v xml:space="preserve"> - </v>
      </c>
    </row>
    <row r="429" spans="1:8" x14ac:dyDescent="0.25">
      <c r="A429" s="3"/>
      <c r="B429" s="3"/>
      <c r="C429" s="18" t="str">
        <f t="shared" si="9"/>
        <v/>
      </c>
      <c r="D429" s="5">
        <v>427</v>
      </c>
      <c r="E429" s="5"/>
      <c r="F429" s="5"/>
      <c r="G429" s="5"/>
      <c r="H429" s="21" t="str">
        <f>IF(E429=""," - ",(IFERROR(VLOOKUP(E429,Prices!A:B,2,0),1)))</f>
        <v xml:space="preserve"> - </v>
      </c>
    </row>
    <row r="430" spans="1:8" x14ac:dyDescent="0.25">
      <c r="A430" s="3"/>
      <c r="B430" s="3"/>
      <c r="C430" s="18" t="str">
        <f t="shared" si="9"/>
        <v/>
      </c>
      <c r="D430" s="5">
        <v>428</v>
      </c>
      <c r="E430" s="5"/>
      <c r="F430" s="5"/>
      <c r="G430" s="5"/>
      <c r="H430" s="21" t="str">
        <f>IF(E430=""," - ",(IFERROR(VLOOKUP(E430,Prices!A:B,2,0),1)))</f>
        <v xml:space="preserve"> - </v>
      </c>
    </row>
    <row r="431" spans="1:8" x14ac:dyDescent="0.25">
      <c r="A431" s="3"/>
      <c r="B431" s="3"/>
      <c r="C431" s="18" t="str">
        <f t="shared" si="9"/>
        <v/>
      </c>
      <c r="D431" s="5">
        <v>429</v>
      </c>
      <c r="E431" s="5"/>
      <c r="F431" s="5"/>
      <c r="G431" s="5"/>
      <c r="H431" s="21" t="str">
        <f>IF(E431=""," - ",(IFERROR(VLOOKUP(E431,Prices!A:B,2,0),1)))</f>
        <v xml:space="preserve"> - </v>
      </c>
    </row>
    <row r="432" spans="1:8" x14ac:dyDescent="0.25">
      <c r="A432" s="3"/>
      <c r="B432" s="3"/>
      <c r="C432" s="18" t="str">
        <f t="shared" si="9"/>
        <v/>
      </c>
      <c r="D432" s="5">
        <v>430</v>
      </c>
      <c r="E432" s="5"/>
      <c r="F432" s="5"/>
      <c r="G432" s="5"/>
      <c r="H432" s="21" t="str">
        <f>IF(E432=""," - ",(IFERROR(VLOOKUP(E432,Prices!A:B,2,0),1)))</f>
        <v xml:space="preserve"> - </v>
      </c>
    </row>
    <row r="433" spans="1:8" x14ac:dyDescent="0.25">
      <c r="A433" s="3"/>
      <c r="B433" s="3"/>
      <c r="C433" s="18" t="str">
        <f t="shared" si="9"/>
        <v/>
      </c>
      <c r="D433" s="5">
        <v>431</v>
      </c>
      <c r="E433" s="5"/>
      <c r="F433" s="5"/>
      <c r="G433" s="5"/>
      <c r="H433" s="21" t="str">
        <f>IF(E433=""," - ",(IFERROR(VLOOKUP(E433,Prices!A:B,2,0),1)))</f>
        <v xml:space="preserve"> - </v>
      </c>
    </row>
    <row r="434" spans="1:8" x14ac:dyDescent="0.25">
      <c r="A434" s="3"/>
      <c r="B434" s="3"/>
      <c r="C434" s="18" t="str">
        <f t="shared" si="9"/>
        <v/>
      </c>
      <c r="D434" s="5">
        <v>432</v>
      </c>
      <c r="E434" s="5"/>
      <c r="F434" s="5"/>
      <c r="G434" s="5"/>
      <c r="H434" s="21" t="str">
        <f>IF(E434=""," - ",(IFERROR(VLOOKUP(E434,Prices!A:B,2,0),1)))</f>
        <v xml:space="preserve"> - </v>
      </c>
    </row>
    <row r="435" spans="1:8" x14ac:dyDescent="0.25">
      <c r="A435" s="3"/>
      <c r="B435" s="3"/>
      <c r="C435" s="18" t="str">
        <f t="shared" si="9"/>
        <v/>
      </c>
      <c r="D435" s="5">
        <v>433</v>
      </c>
      <c r="E435" s="5"/>
      <c r="F435" s="5"/>
      <c r="G435" s="5"/>
      <c r="H435" s="21" t="str">
        <f>IF(E435=""," - ",(IFERROR(VLOOKUP(E435,Prices!A:B,2,0),1)))</f>
        <v xml:space="preserve"> - </v>
      </c>
    </row>
    <row r="436" spans="1:8" x14ac:dyDescent="0.25">
      <c r="A436" s="3"/>
      <c r="B436" s="3"/>
      <c r="C436" s="18" t="str">
        <f t="shared" si="9"/>
        <v/>
      </c>
      <c r="D436" s="5">
        <v>434</v>
      </c>
      <c r="E436" s="5"/>
      <c r="F436" s="5"/>
      <c r="G436" s="5"/>
      <c r="H436" s="21" t="str">
        <f>IF(E436=""," - ",(IFERROR(VLOOKUP(E436,Prices!A:B,2,0),1)))</f>
        <v xml:space="preserve"> - </v>
      </c>
    </row>
    <row r="437" spans="1:8" x14ac:dyDescent="0.25">
      <c r="A437" s="3"/>
      <c r="B437" s="3"/>
      <c r="C437" s="18" t="str">
        <f t="shared" si="9"/>
        <v/>
      </c>
      <c r="D437" s="5">
        <v>435</v>
      </c>
      <c r="E437" s="5"/>
      <c r="F437" s="5"/>
      <c r="G437" s="5"/>
      <c r="H437" s="21" t="str">
        <f>IF(E437=""," - ",(IFERROR(VLOOKUP(E437,Prices!A:B,2,0),1)))</f>
        <v xml:space="preserve"> - </v>
      </c>
    </row>
    <row r="438" spans="1:8" x14ac:dyDescent="0.25">
      <c r="A438" s="3"/>
      <c r="B438" s="3"/>
      <c r="C438" s="18" t="str">
        <f t="shared" si="9"/>
        <v/>
      </c>
      <c r="D438" s="5">
        <v>436</v>
      </c>
      <c r="E438" s="5"/>
      <c r="F438" s="5"/>
      <c r="G438" s="5"/>
      <c r="H438" s="21" t="str">
        <f>IF(E438=""," - ",(IFERROR(VLOOKUP(E438,Prices!A:B,2,0),1)))</f>
        <v xml:space="preserve"> - </v>
      </c>
    </row>
    <row r="439" spans="1:8" x14ac:dyDescent="0.25">
      <c r="A439" s="3"/>
      <c r="B439" s="3"/>
      <c r="C439" s="18" t="str">
        <f t="shared" si="9"/>
        <v/>
      </c>
      <c r="D439" s="5">
        <v>437</v>
      </c>
      <c r="E439" s="5"/>
      <c r="F439" s="5"/>
      <c r="G439" s="5"/>
      <c r="H439" s="21" t="str">
        <f>IF(E439=""," - ",(IFERROR(VLOOKUP(E439,Prices!A:B,2,0),1)))</f>
        <v xml:space="preserve"> - </v>
      </c>
    </row>
    <row r="440" spans="1:8" x14ac:dyDescent="0.25">
      <c r="A440" s="3"/>
      <c r="B440" s="3"/>
      <c r="C440" s="18" t="str">
        <f t="shared" si="9"/>
        <v/>
      </c>
      <c r="D440" s="5">
        <v>438</v>
      </c>
      <c r="E440" s="5"/>
      <c r="F440" s="5"/>
      <c r="G440" s="5"/>
      <c r="H440" s="21" t="str">
        <f>IF(E440=""," - ",(IFERROR(VLOOKUP(E440,Prices!A:B,2,0),1)))</f>
        <v xml:space="preserve"> - </v>
      </c>
    </row>
    <row r="441" spans="1:8" x14ac:dyDescent="0.25">
      <c r="A441" s="3"/>
      <c r="B441" s="3"/>
      <c r="C441" s="18" t="str">
        <f t="shared" si="9"/>
        <v/>
      </c>
      <c r="D441" s="5">
        <v>439</v>
      </c>
      <c r="E441" s="5"/>
      <c r="F441" s="5"/>
      <c r="G441" s="5"/>
      <c r="H441" s="21" t="str">
        <f>IF(E441=""," - ",(IFERROR(VLOOKUP(E441,Prices!A:B,2,0),1)))</f>
        <v xml:space="preserve"> - </v>
      </c>
    </row>
    <row r="442" spans="1:8" x14ac:dyDescent="0.25">
      <c r="A442" s="3"/>
      <c r="B442" s="3"/>
      <c r="C442" s="18" t="str">
        <f t="shared" si="9"/>
        <v/>
      </c>
      <c r="D442" s="5">
        <v>440</v>
      </c>
      <c r="E442" s="5"/>
      <c r="F442" s="5"/>
      <c r="G442" s="5"/>
      <c r="H442" s="21" t="str">
        <f>IF(E442=""," - ",(IFERROR(VLOOKUP(E442,Prices!A:B,2,0),1)))</f>
        <v xml:space="preserve"> - </v>
      </c>
    </row>
    <row r="443" spans="1:8" x14ac:dyDescent="0.25">
      <c r="A443" s="3"/>
      <c r="B443" s="3"/>
      <c r="C443" s="18" t="str">
        <f t="shared" si="9"/>
        <v/>
      </c>
      <c r="D443" s="5">
        <v>441</v>
      </c>
      <c r="E443" s="5"/>
      <c r="F443" s="5"/>
      <c r="G443" s="5"/>
      <c r="H443" s="21" t="str">
        <f>IF(E443=""," - ",(IFERROR(VLOOKUP(E443,Prices!A:B,2,0),1)))</f>
        <v xml:space="preserve"> - </v>
      </c>
    </row>
    <row r="444" spans="1:8" x14ac:dyDescent="0.25">
      <c r="A444" s="3"/>
      <c r="B444" s="3"/>
      <c r="C444" s="18" t="str">
        <f t="shared" si="9"/>
        <v/>
      </c>
      <c r="D444" s="5">
        <v>442</v>
      </c>
      <c r="E444" s="5"/>
      <c r="F444" s="5"/>
      <c r="G444" s="5"/>
      <c r="H444" s="21" t="str">
        <f>IF(E444=""," - ",(IFERROR(VLOOKUP(E444,Prices!A:B,2,0),1)))</f>
        <v xml:space="preserve"> - </v>
      </c>
    </row>
    <row r="445" spans="1:8" x14ac:dyDescent="0.25">
      <c r="A445" s="3"/>
      <c r="B445" s="3"/>
      <c r="C445" s="18" t="str">
        <f t="shared" si="9"/>
        <v/>
      </c>
      <c r="D445" s="5">
        <v>443</v>
      </c>
      <c r="E445" s="5"/>
      <c r="F445" s="5"/>
      <c r="G445" s="5"/>
      <c r="H445" s="21" t="str">
        <f>IF(E445=""," - ",(IFERROR(VLOOKUP(E445,Prices!A:B,2,0),1)))</f>
        <v xml:space="preserve"> - </v>
      </c>
    </row>
    <row r="446" spans="1:8" x14ac:dyDescent="0.25">
      <c r="A446" s="3"/>
      <c r="B446" s="3"/>
      <c r="C446" s="18" t="str">
        <f t="shared" si="9"/>
        <v/>
      </c>
      <c r="D446" s="5">
        <v>444</v>
      </c>
      <c r="E446" s="5"/>
      <c r="F446" s="5"/>
      <c r="G446" s="5"/>
      <c r="H446" s="21" t="str">
        <f>IF(E446=""," - ",(IFERROR(VLOOKUP(E446,Prices!A:B,2,0),1)))</f>
        <v xml:space="preserve"> - </v>
      </c>
    </row>
    <row r="447" spans="1:8" x14ac:dyDescent="0.25">
      <c r="A447" s="3"/>
      <c r="B447" s="3"/>
      <c r="C447" s="18" t="str">
        <f t="shared" si="9"/>
        <v/>
      </c>
      <c r="D447" s="5">
        <v>445</v>
      </c>
      <c r="E447" s="5"/>
      <c r="F447" s="5"/>
      <c r="G447" s="5"/>
      <c r="H447" s="21" t="str">
        <f>IF(E447=""," - ",(IFERROR(VLOOKUP(E447,Prices!A:B,2,0),1)))</f>
        <v xml:space="preserve"> - </v>
      </c>
    </row>
    <row r="448" spans="1:8" x14ac:dyDescent="0.25">
      <c r="A448" s="3"/>
      <c r="B448" s="3"/>
      <c r="C448" s="18" t="str">
        <f t="shared" si="9"/>
        <v/>
      </c>
      <c r="D448" s="5">
        <v>446</v>
      </c>
      <c r="E448" s="5"/>
      <c r="F448" s="5"/>
      <c r="G448" s="5"/>
      <c r="H448" s="21" t="str">
        <f>IF(E448=""," - ",(IFERROR(VLOOKUP(E448,Prices!A:B,2,0),1)))</f>
        <v xml:space="preserve"> - </v>
      </c>
    </row>
    <row r="449" spans="1:8" x14ac:dyDescent="0.25">
      <c r="A449" s="3"/>
      <c r="B449" s="3"/>
      <c r="C449" s="18" t="str">
        <f t="shared" si="9"/>
        <v/>
      </c>
      <c r="D449" s="5">
        <v>447</v>
      </c>
      <c r="E449" s="5"/>
      <c r="F449" s="5"/>
      <c r="G449" s="5"/>
      <c r="H449" s="21" t="str">
        <f>IF(E449=""," - ",(IFERROR(VLOOKUP(E449,Prices!A:B,2,0),1)))</f>
        <v xml:space="preserve"> - </v>
      </c>
    </row>
    <row r="450" spans="1:8" x14ac:dyDescent="0.25">
      <c r="A450" s="3"/>
      <c r="B450" s="3"/>
      <c r="C450" s="18" t="str">
        <f t="shared" si="9"/>
        <v/>
      </c>
      <c r="D450" s="5">
        <v>448</v>
      </c>
      <c r="E450" s="5"/>
      <c r="F450" s="5"/>
      <c r="G450" s="5"/>
      <c r="H450" s="21" t="str">
        <f>IF(E450=""," - ",(IFERROR(VLOOKUP(E450,Prices!A:B,2,0),1)))</f>
        <v xml:space="preserve"> - </v>
      </c>
    </row>
    <row r="451" spans="1:8" x14ac:dyDescent="0.25">
      <c r="A451" s="3"/>
      <c r="B451" s="3"/>
      <c r="C451" s="18" t="str">
        <f t="shared" si="9"/>
        <v/>
      </c>
      <c r="D451" s="5">
        <v>449</v>
      </c>
      <c r="E451" s="5"/>
      <c r="F451" s="5"/>
      <c r="G451" s="5"/>
      <c r="H451" s="21" t="str">
        <f>IF(E451=""," - ",(IFERROR(VLOOKUP(E451,Prices!A:B,2,0),1)))</f>
        <v xml:space="preserve"> - </v>
      </c>
    </row>
    <row r="452" spans="1:8" x14ac:dyDescent="0.25">
      <c r="A452" s="3"/>
      <c r="B452" s="3"/>
      <c r="C452" s="18" t="str">
        <f t="shared" ref="C452:C502" si="10">IFERROR(IF(MATCH($B$3,D:D)-2=D452,"à",""),"")</f>
        <v/>
      </c>
      <c r="D452" s="5">
        <v>450</v>
      </c>
      <c r="E452" s="5"/>
      <c r="F452" s="5"/>
      <c r="G452" s="5"/>
      <c r="H452" s="21" t="str">
        <f>IF(E452=""," - ",(IFERROR(VLOOKUP(E452,Prices!A:B,2,0),1)))</f>
        <v xml:space="preserve"> - </v>
      </c>
    </row>
    <row r="453" spans="1:8" x14ac:dyDescent="0.25">
      <c r="A453" s="3"/>
      <c r="B453" s="3"/>
      <c r="C453" s="18" t="str">
        <f t="shared" si="10"/>
        <v/>
      </c>
      <c r="D453" s="5">
        <v>451</v>
      </c>
      <c r="E453" s="5"/>
      <c r="F453" s="5"/>
      <c r="G453" s="5"/>
      <c r="H453" s="21" t="str">
        <f>IF(E453=""," - ",(IFERROR(VLOOKUP(E453,Prices!A:B,2,0),1)))</f>
        <v xml:space="preserve"> - </v>
      </c>
    </row>
    <row r="454" spans="1:8" x14ac:dyDescent="0.25">
      <c r="A454" s="3"/>
      <c r="B454" s="3"/>
      <c r="C454" s="18" t="str">
        <f t="shared" si="10"/>
        <v/>
      </c>
      <c r="D454" s="5">
        <v>452</v>
      </c>
      <c r="E454" s="5"/>
      <c r="F454" s="5"/>
      <c r="G454" s="5"/>
      <c r="H454" s="21" t="str">
        <f>IF(E454=""," - ",(IFERROR(VLOOKUP(E454,Prices!A:B,2,0),1)))</f>
        <v xml:space="preserve"> - </v>
      </c>
    </row>
    <row r="455" spans="1:8" x14ac:dyDescent="0.25">
      <c r="A455" s="3"/>
      <c r="B455" s="3"/>
      <c r="C455" s="18" t="str">
        <f t="shared" si="10"/>
        <v/>
      </c>
      <c r="D455" s="5">
        <v>453</v>
      </c>
      <c r="E455" s="5"/>
      <c r="F455" s="5"/>
      <c r="G455" s="5"/>
      <c r="H455" s="21" t="str">
        <f>IF(E455=""," - ",(IFERROR(VLOOKUP(E455,Prices!A:B,2,0),1)))</f>
        <v xml:space="preserve"> - </v>
      </c>
    </row>
    <row r="456" spans="1:8" x14ac:dyDescent="0.25">
      <c r="A456" s="3"/>
      <c r="B456" s="3"/>
      <c r="C456" s="18" t="str">
        <f t="shared" si="10"/>
        <v/>
      </c>
      <c r="D456" s="5">
        <v>454</v>
      </c>
      <c r="E456" s="5"/>
      <c r="F456" s="5"/>
      <c r="G456" s="5"/>
      <c r="H456" s="21" t="str">
        <f>IF(E456=""," - ",(IFERROR(VLOOKUP(E456,Prices!A:B,2,0),1)))</f>
        <v xml:space="preserve"> - </v>
      </c>
    </row>
    <row r="457" spans="1:8" x14ac:dyDescent="0.25">
      <c r="A457" s="3"/>
      <c r="B457" s="3"/>
      <c r="C457" s="18" t="str">
        <f t="shared" si="10"/>
        <v/>
      </c>
      <c r="D457" s="5">
        <v>455</v>
      </c>
      <c r="E457" s="5"/>
      <c r="F457" s="5"/>
      <c r="G457" s="5"/>
      <c r="H457" s="21" t="str">
        <f>IF(E457=""," - ",(IFERROR(VLOOKUP(E457,Prices!A:B,2,0),1)))</f>
        <v xml:space="preserve"> - </v>
      </c>
    </row>
    <row r="458" spans="1:8" x14ac:dyDescent="0.25">
      <c r="A458" s="3"/>
      <c r="B458" s="3"/>
      <c r="C458" s="18" t="str">
        <f t="shared" si="10"/>
        <v/>
      </c>
      <c r="D458" s="5">
        <v>456</v>
      </c>
      <c r="E458" s="5"/>
      <c r="F458" s="5"/>
      <c r="G458" s="5"/>
      <c r="H458" s="21" t="str">
        <f>IF(E458=""," - ",(IFERROR(VLOOKUP(E458,Prices!A:B,2,0),1)))</f>
        <v xml:space="preserve"> - </v>
      </c>
    </row>
    <row r="459" spans="1:8" x14ac:dyDescent="0.25">
      <c r="A459" s="3"/>
      <c r="B459" s="3"/>
      <c r="C459" s="18" t="str">
        <f t="shared" si="10"/>
        <v/>
      </c>
      <c r="D459" s="5">
        <v>457</v>
      </c>
      <c r="E459" s="5"/>
      <c r="F459" s="5"/>
      <c r="G459" s="5"/>
      <c r="H459" s="21" t="str">
        <f>IF(E459=""," - ",(IFERROR(VLOOKUP(E459,Prices!A:B,2,0),1)))</f>
        <v xml:space="preserve"> - </v>
      </c>
    </row>
    <row r="460" spans="1:8" x14ac:dyDescent="0.25">
      <c r="A460" s="3"/>
      <c r="B460" s="3"/>
      <c r="C460" s="18" t="str">
        <f t="shared" si="10"/>
        <v/>
      </c>
      <c r="D460" s="5">
        <v>458</v>
      </c>
      <c r="E460" s="5"/>
      <c r="F460" s="5"/>
      <c r="G460" s="5"/>
      <c r="H460" s="21" t="str">
        <f>IF(E460=""," - ",(IFERROR(VLOOKUP(E460,Prices!A:B,2,0),1)))</f>
        <v xml:space="preserve"> - </v>
      </c>
    </row>
    <row r="461" spans="1:8" x14ac:dyDescent="0.25">
      <c r="A461" s="3"/>
      <c r="B461" s="3"/>
      <c r="C461" s="18" t="str">
        <f t="shared" si="10"/>
        <v/>
      </c>
      <c r="D461" s="5">
        <v>459</v>
      </c>
      <c r="E461" s="5"/>
      <c r="F461" s="5"/>
      <c r="G461" s="5"/>
      <c r="H461" s="21" t="str">
        <f>IF(E461=""," - ",(IFERROR(VLOOKUP(E461,Prices!A:B,2,0),1)))</f>
        <v xml:space="preserve"> - </v>
      </c>
    </row>
    <row r="462" spans="1:8" x14ac:dyDescent="0.25">
      <c r="A462" s="3"/>
      <c r="B462" s="3"/>
      <c r="C462" s="18" t="str">
        <f t="shared" si="10"/>
        <v/>
      </c>
      <c r="D462" s="5">
        <v>460</v>
      </c>
      <c r="E462" s="5"/>
      <c r="F462" s="5"/>
      <c r="G462" s="5"/>
      <c r="H462" s="21" t="str">
        <f>IF(E462=""," - ",(IFERROR(VLOOKUP(E462,Prices!A:B,2,0),1)))</f>
        <v xml:space="preserve"> - </v>
      </c>
    </row>
    <row r="463" spans="1:8" x14ac:dyDescent="0.25">
      <c r="A463" s="3"/>
      <c r="B463" s="3"/>
      <c r="C463" s="18" t="str">
        <f t="shared" si="10"/>
        <v/>
      </c>
      <c r="D463" s="5">
        <v>461</v>
      </c>
      <c r="E463" s="5"/>
      <c r="F463" s="5"/>
      <c r="G463" s="5"/>
      <c r="H463" s="21" t="str">
        <f>IF(E463=""," - ",(IFERROR(VLOOKUP(E463,Prices!A:B,2,0),1)))</f>
        <v xml:space="preserve"> - </v>
      </c>
    </row>
    <row r="464" spans="1:8" x14ac:dyDescent="0.25">
      <c r="A464" s="3"/>
      <c r="B464" s="3"/>
      <c r="C464" s="18" t="str">
        <f t="shared" si="10"/>
        <v/>
      </c>
      <c r="D464" s="5">
        <v>462</v>
      </c>
      <c r="E464" s="5"/>
      <c r="F464" s="5"/>
      <c r="G464" s="5"/>
      <c r="H464" s="21" t="str">
        <f>IF(E464=""," - ",(IFERROR(VLOOKUP(E464,Prices!A:B,2,0),1)))</f>
        <v xml:space="preserve"> - </v>
      </c>
    </row>
    <row r="465" spans="1:8" x14ac:dyDescent="0.25">
      <c r="A465" s="3"/>
      <c r="B465" s="3"/>
      <c r="C465" s="18" t="str">
        <f t="shared" si="10"/>
        <v/>
      </c>
      <c r="D465" s="5">
        <v>463</v>
      </c>
      <c r="E465" s="5"/>
      <c r="F465" s="5"/>
      <c r="G465" s="5"/>
      <c r="H465" s="21" t="str">
        <f>IF(E465=""," - ",(IFERROR(VLOOKUP(E465,Prices!A:B,2,0),1)))</f>
        <v xml:space="preserve"> - </v>
      </c>
    </row>
    <row r="466" spans="1:8" x14ac:dyDescent="0.25">
      <c r="A466" s="3"/>
      <c r="B466" s="3"/>
      <c r="C466" s="18" t="str">
        <f t="shared" si="10"/>
        <v/>
      </c>
      <c r="D466" s="5">
        <v>464</v>
      </c>
      <c r="E466" s="5"/>
      <c r="F466" s="5"/>
      <c r="G466" s="5"/>
      <c r="H466" s="21" t="str">
        <f>IF(E466=""," - ",(IFERROR(VLOOKUP(E466,Prices!A:B,2,0),1)))</f>
        <v xml:space="preserve"> - </v>
      </c>
    </row>
    <row r="467" spans="1:8" x14ac:dyDescent="0.25">
      <c r="A467" s="3"/>
      <c r="B467" s="3"/>
      <c r="C467" s="18" t="str">
        <f t="shared" si="10"/>
        <v/>
      </c>
      <c r="D467" s="5">
        <v>465</v>
      </c>
      <c r="E467" s="5"/>
      <c r="F467" s="5"/>
      <c r="G467" s="5"/>
      <c r="H467" s="21" t="str">
        <f>IF(E467=""," - ",(IFERROR(VLOOKUP(E467,Prices!A:B,2,0),1)))</f>
        <v xml:space="preserve"> - </v>
      </c>
    </row>
    <row r="468" spans="1:8" x14ac:dyDescent="0.25">
      <c r="A468" s="3"/>
      <c r="B468" s="3"/>
      <c r="C468" s="18" t="str">
        <f t="shared" si="10"/>
        <v/>
      </c>
      <c r="D468" s="5">
        <v>466</v>
      </c>
      <c r="E468" s="5"/>
      <c r="F468" s="5"/>
      <c r="G468" s="5"/>
      <c r="H468" s="21" t="str">
        <f>IF(E468=""," - ",(IFERROR(VLOOKUP(E468,Prices!A:B,2,0),1)))</f>
        <v xml:space="preserve"> - </v>
      </c>
    </row>
    <row r="469" spans="1:8" x14ac:dyDescent="0.25">
      <c r="A469" s="3"/>
      <c r="B469" s="3"/>
      <c r="C469" s="18" t="str">
        <f t="shared" si="10"/>
        <v/>
      </c>
      <c r="D469" s="5">
        <v>467</v>
      </c>
      <c r="E469" s="5"/>
      <c r="F469" s="5"/>
      <c r="G469" s="5"/>
      <c r="H469" s="21" t="str">
        <f>IF(E469=""," - ",(IFERROR(VLOOKUP(E469,Prices!A:B,2,0),1)))</f>
        <v xml:space="preserve"> - </v>
      </c>
    </row>
    <row r="470" spans="1:8" x14ac:dyDescent="0.25">
      <c r="A470" s="3"/>
      <c r="B470" s="3"/>
      <c r="C470" s="18" t="str">
        <f t="shared" si="10"/>
        <v/>
      </c>
      <c r="D470" s="5">
        <v>468</v>
      </c>
      <c r="E470" s="5"/>
      <c r="F470" s="5"/>
      <c r="G470" s="5"/>
      <c r="H470" s="21" t="str">
        <f>IF(E470=""," - ",(IFERROR(VLOOKUP(E470,Prices!A:B,2,0),1)))</f>
        <v xml:space="preserve"> - </v>
      </c>
    </row>
    <row r="471" spans="1:8" x14ac:dyDescent="0.25">
      <c r="A471" s="3"/>
      <c r="B471" s="3"/>
      <c r="C471" s="18" t="str">
        <f t="shared" si="10"/>
        <v/>
      </c>
      <c r="D471" s="5">
        <v>469</v>
      </c>
      <c r="E471" s="5"/>
      <c r="F471" s="5"/>
      <c r="G471" s="5"/>
      <c r="H471" s="21" t="str">
        <f>IF(E471=""," - ",(IFERROR(VLOOKUP(E471,Prices!A:B,2,0),1)))</f>
        <v xml:space="preserve"> - </v>
      </c>
    </row>
    <row r="472" spans="1:8" x14ac:dyDescent="0.25">
      <c r="A472" s="3"/>
      <c r="B472" s="3"/>
      <c r="C472" s="18" t="str">
        <f t="shared" si="10"/>
        <v/>
      </c>
      <c r="D472" s="5">
        <v>470</v>
      </c>
      <c r="E472" s="5"/>
      <c r="F472" s="5"/>
      <c r="G472" s="5"/>
      <c r="H472" s="21" t="str">
        <f>IF(E472=""," - ",(IFERROR(VLOOKUP(E472,Prices!A:B,2,0),1)))</f>
        <v xml:space="preserve"> - </v>
      </c>
    </row>
    <row r="473" spans="1:8" x14ac:dyDescent="0.25">
      <c r="A473" s="3"/>
      <c r="B473" s="3"/>
      <c r="C473" s="18" t="str">
        <f t="shared" si="10"/>
        <v/>
      </c>
      <c r="D473" s="5">
        <v>471</v>
      </c>
      <c r="E473" s="5"/>
      <c r="F473" s="5"/>
      <c r="G473" s="5"/>
      <c r="H473" s="21" t="str">
        <f>IF(E473=""," - ",(IFERROR(VLOOKUP(E473,Prices!A:B,2,0),1)))</f>
        <v xml:space="preserve"> - </v>
      </c>
    </row>
    <row r="474" spans="1:8" x14ac:dyDescent="0.25">
      <c r="A474" s="3"/>
      <c r="B474" s="3"/>
      <c r="C474" s="18" t="str">
        <f t="shared" si="10"/>
        <v/>
      </c>
      <c r="D474" s="5">
        <v>472</v>
      </c>
      <c r="E474" s="5"/>
      <c r="F474" s="5"/>
      <c r="G474" s="5"/>
      <c r="H474" s="21" t="str">
        <f>IF(E474=""," - ",(IFERROR(VLOOKUP(E474,Prices!A:B,2,0),1)))</f>
        <v xml:space="preserve"> - </v>
      </c>
    </row>
    <row r="475" spans="1:8" x14ac:dyDescent="0.25">
      <c r="A475" s="3"/>
      <c r="B475" s="3"/>
      <c r="C475" s="18" t="str">
        <f t="shared" si="10"/>
        <v/>
      </c>
      <c r="D475" s="5">
        <v>473</v>
      </c>
      <c r="E475" s="5"/>
      <c r="F475" s="5"/>
      <c r="G475" s="5"/>
      <c r="H475" s="21" t="str">
        <f>IF(E475=""," - ",(IFERROR(VLOOKUP(E475,Prices!A:B,2,0),1)))</f>
        <v xml:space="preserve"> - </v>
      </c>
    </row>
    <row r="476" spans="1:8" x14ac:dyDescent="0.25">
      <c r="A476" s="3"/>
      <c r="B476" s="3"/>
      <c r="C476" s="18" t="str">
        <f t="shared" si="10"/>
        <v/>
      </c>
      <c r="D476" s="5">
        <v>474</v>
      </c>
      <c r="E476" s="5"/>
      <c r="F476" s="5"/>
      <c r="G476" s="5"/>
      <c r="H476" s="21" t="str">
        <f>IF(E476=""," - ",(IFERROR(VLOOKUP(E476,Prices!A:B,2,0),1)))</f>
        <v xml:space="preserve"> - </v>
      </c>
    </row>
    <row r="477" spans="1:8" x14ac:dyDescent="0.25">
      <c r="A477" s="3"/>
      <c r="B477" s="3"/>
      <c r="C477" s="18" t="str">
        <f t="shared" si="10"/>
        <v/>
      </c>
      <c r="D477" s="5">
        <v>475</v>
      </c>
      <c r="E477" s="5"/>
      <c r="F477" s="5"/>
      <c r="G477" s="5"/>
      <c r="H477" s="21" t="str">
        <f>IF(E477=""," - ",(IFERROR(VLOOKUP(E477,Prices!A:B,2,0),1)))</f>
        <v xml:space="preserve"> - </v>
      </c>
    </row>
    <row r="478" spans="1:8" x14ac:dyDescent="0.25">
      <c r="A478" s="3"/>
      <c r="B478" s="3"/>
      <c r="C478" s="18" t="str">
        <f t="shared" si="10"/>
        <v/>
      </c>
      <c r="D478" s="5">
        <v>476</v>
      </c>
      <c r="E478" s="5"/>
      <c r="F478" s="5"/>
      <c r="G478" s="5"/>
      <c r="H478" s="21" t="str">
        <f>IF(E478=""," - ",(IFERROR(VLOOKUP(E478,Prices!A:B,2,0),1)))</f>
        <v xml:space="preserve"> - </v>
      </c>
    </row>
    <row r="479" spans="1:8" x14ac:dyDescent="0.25">
      <c r="A479" s="3"/>
      <c r="B479" s="3"/>
      <c r="C479" s="18" t="str">
        <f t="shared" si="10"/>
        <v/>
      </c>
      <c r="D479" s="5">
        <v>477</v>
      </c>
      <c r="E479" s="5"/>
      <c r="F479" s="5"/>
      <c r="G479" s="5"/>
      <c r="H479" s="21" t="str">
        <f>IF(E479=""," - ",(IFERROR(VLOOKUP(E479,Prices!A:B,2,0),1)))</f>
        <v xml:space="preserve"> - </v>
      </c>
    </row>
    <row r="480" spans="1:8" x14ac:dyDescent="0.25">
      <c r="A480" s="3"/>
      <c r="B480" s="3"/>
      <c r="C480" s="18" t="str">
        <f t="shared" si="10"/>
        <v/>
      </c>
      <c r="D480" s="5">
        <v>478</v>
      </c>
      <c r="E480" s="5"/>
      <c r="F480" s="5"/>
      <c r="G480" s="5"/>
      <c r="H480" s="21" t="str">
        <f>IF(E480=""," - ",(IFERROR(VLOOKUP(E480,Prices!A:B,2,0),1)))</f>
        <v xml:space="preserve"> - </v>
      </c>
    </row>
    <row r="481" spans="1:8" x14ac:dyDescent="0.25">
      <c r="A481" s="3"/>
      <c r="B481" s="3"/>
      <c r="C481" s="18" t="str">
        <f t="shared" si="10"/>
        <v/>
      </c>
      <c r="D481" s="5">
        <v>479</v>
      </c>
      <c r="E481" s="5"/>
      <c r="F481" s="5"/>
      <c r="G481" s="5"/>
      <c r="H481" s="21" t="str">
        <f>IF(E481=""," - ",(IFERROR(VLOOKUP(E481,Prices!A:B,2,0),1)))</f>
        <v xml:space="preserve"> - </v>
      </c>
    </row>
    <row r="482" spans="1:8" x14ac:dyDescent="0.25">
      <c r="A482" s="3"/>
      <c r="B482" s="3"/>
      <c r="C482" s="18" t="str">
        <f t="shared" si="10"/>
        <v/>
      </c>
      <c r="D482" s="5">
        <v>480</v>
      </c>
      <c r="E482" s="5"/>
      <c r="F482" s="5"/>
      <c r="G482" s="5"/>
      <c r="H482" s="21" t="str">
        <f>IF(E482=""," - ",(IFERROR(VLOOKUP(E482,Prices!A:B,2,0),1)))</f>
        <v xml:space="preserve"> - </v>
      </c>
    </row>
    <row r="483" spans="1:8" x14ac:dyDescent="0.25">
      <c r="A483" s="3"/>
      <c r="B483" s="3"/>
      <c r="C483" s="18" t="str">
        <f t="shared" si="10"/>
        <v/>
      </c>
      <c r="D483" s="5">
        <v>481</v>
      </c>
      <c r="E483" s="5"/>
      <c r="F483" s="5"/>
      <c r="G483" s="5"/>
      <c r="H483" s="21" t="str">
        <f>IF(E483=""," - ",(IFERROR(VLOOKUP(E483,Prices!A:B,2,0),1)))</f>
        <v xml:space="preserve"> - </v>
      </c>
    </row>
    <row r="484" spans="1:8" x14ac:dyDescent="0.25">
      <c r="A484" s="3"/>
      <c r="B484" s="3"/>
      <c r="C484" s="18" t="str">
        <f t="shared" si="10"/>
        <v/>
      </c>
      <c r="D484" s="5">
        <v>482</v>
      </c>
      <c r="E484" s="5"/>
      <c r="F484" s="5"/>
      <c r="G484" s="5"/>
      <c r="H484" s="21" t="str">
        <f>IF(E484=""," - ",(IFERROR(VLOOKUP(E484,Prices!A:B,2,0),1)))</f>
        <v xml:space="preserve"> - </v>
      </c>
    </row>
    <row r="485" spans="1:8" x14ac:dyDescent="0.25">
      <c r="A485" s="3"/>
      <c r="B485" s="3"/>
      <c r="C485" s="18" t="str">
        <f t="shared" si="10"/>
        <v/>
      </c>
      <c r="D485" s="5">
        <v>483</v>
      </c>
      <c r="E485" s="5"/>
      <c r="F485" s="5"/>
      <c r="G485" s="5"/>
      <c r="H485" s="21" t="str">
        <f>IF(E485=""," - ",(IFERROR(VLOOKUP(E485,Prices!A:B,2,0),1)))</f>
        <v xml:space="preserve"> - </v>
      </c>
    </row>
    <row r="486" spans="1:8" x14ac:dyDescent="0.25">
      <c r="A486" s="3"/>
      <c r="B486" s="3"/>
      <c r="C486" s="18" t="str">
        <f t="shared" si="10"/>
        <v/>
      </c>
      <c r="D486" s="5">
        <v>484</v>
      </c>
      <c r="E486" s="5"/>
      <c r="F486" s="5"/>
      <c r="G486" s="5"/>
      <c r="H486" s="21" t="str">
        <f>IF(E486=""," - ",(IFERROR(VLOOKUP(E486,Prices!A:B,2,0),1)))</f>
        <v xml:space="preserve"> - </v>
      </c>
    </row>
    <row r="487" spans="1:8" x14ac:dyDescent="0.25">
      <c r="A487" s="3"/>
      <c r="B487" s="3"/>
      <c r="C487" s="18" t="str">
        <f t="shared" si="10"/>
        <v/>
      </c>
      <c r="D487" s="5">
        <v>485</v>
      </c>
      <c r="E487" s="5"/>
      <c r="F487" s="5"/>
      <c r="G487" s="5"/>
      <c r="H487" s="21" t="str">
        <f>IF(E487=""," - ",(IFERROR(VLOOKUP(E487,Prices!A:B,2,0),1)))</f>
        <v xml:space="preserve"> - </v>
      </c>
    </row>
    <row r="488" spans="1:8" x14ac:dyDescent="0.25">
      <c r="A488" s="3"/>
      <c r="B488" s="3"/>
      <c r="C488" s="18" t="str">
        <f t="shared" si="10"/>
        <v/>
      </c>
      <c r="D488" s="5">
        <v>486</v>
      </c>
      <c r="E488" s="5"/>
      <c r="F488" s="5"/>
      <c r="G488" s="5"/>
      <c r="H488" s="21" t="str">
        <f>IF(E488=""," - ",(IFERROR(VLOOKUP(E488,Prices!A:B,2,0),1)))</f>
        <v xml:space="preserve"> - </v>
      </c>
    </row>
    <row r="489" spans="1:8" x14ac:dyDescent="0.25">
      <c r="A489" s="3"/>
      <c r="B489" s="3"/>
      <c r="C489" s="18" t="str">
        <f t="shared" si="10"/>
        <v/>
      </c>
      <c r="D489" s="5">
        <v>487</v>
      </c>
      <c r="E489" s="5"/>
      <c r="F489" s="5"/>
      <c r="G489" s="5"/>
      <c r="H489" s="21" t="str">
        <f>IF(E489=""," - ",(IFERROR(VLOOKUP(E489,Prices!A:B,2,0),1)))</f>
        <v xml:space="preserve"> - </v>
      </c>
    </row>
    <row r="490" spans="1:8" x14ac:dyDescent="0.25">
      <c r="A490" s="3"/>
      <c r="B490" s="3"/>
      <c r="C490" s="18" t="str">
        <f t="shared" si="10"/>
        <v/>
      </c>
      <c r="D490" s="5">
        <v>488</v>
      </c>
      <c r="E490" s="5"/>
      <c r="F490" s="5"/>
      <c r="G490" s="5"/>
      <c r="H490" s="21" t="str">
        <f>IF(E490=""," - ",(IFERROR(VLOOKUP(E490,Prices!A:B,2,0),1)))</f>
        <v xml:space="preserve"> - </v>
      </c>
    </row>
    <row r="491" spans="1:8" x14ac:dyDescent="0.25">
      <c r="A491" s="3"/>
      <c r="B491" s="3"/>
      <c r="C491" s="18" t="str">
        <f t="shared" si="10"/>
        <v/>
      </c>
      <c r="D491" s="5">
        <v>489</v>
      </c>
      <c r="E491" s="5"/>
      <c r="F491" s="5"/>
      <c r="G491" s="5"/>
      <c r="H491" s="21" t="str">
        <f>IF(E491=""," - ",(IFERROR(VLOOKUP(E491,Prices!A:B,2,0),1)))</f>
        <v xml:space="preserve"> - </v>
      </c>
    </row>
    <row r="492" spans="1:8" x14ac:dyDescent="0.25">
      <c r="A492" s="3"/>
      <c r="B492" s="3"/>
      <c r="C492" s="18" t="str">
        <f t="shared" si="10"/>
        <v/>
      </c>
      <c r="D492" s="5">
        <v>490</v>
      </c>
      <c r="E492" s="5"/>
      <c r="F492" s="5"/>
      <c r="G492" s="5"/>
      <c r="H492" s="21" t="str">
        <f>IF(E492=""," - ",(IFERROR(VLOOKUP(E492,Prices!A:B,2,0),1)))</f>
        <v xml:space="preserve"> - </v>
      </c>
    </row>
    <row r="493" spans="1:8" x14ac:dyDescent="0.25">
      <c r="A493" s="3"/>
      <c r="B493" s="3"/>
      <c r="C493" s="18" t="str">
        <f t="shared" si="10"/>
        <v/>
      </c>
      <c r="D493" s="5">
        <v>491</v>
      </c>
      <c r="E493" s="5"/>
      <c r="F493" s="5"/>
      <c r="G493" s="5"/>
      <c r="H493" s="21" t="str">
        <f>IF(E493=""," - ",(IFERROR(VLOOKUP(E493,Prices!A:B,2,0),1)))</f>
        <v xml:space="preserve"> - </v>
      </c>
    </row>
    <row r="494" spans="1:8" x14ac:dyDescent="0.25">
      <c r="A494" s="3"/>
      <c r="B494" s="3"/>
      <c r="C494" s="18" t="str">
        <f t="shared" si="10"/>
        <v/>
      </c>
      <c r="D494" s="5">
        <v>492</v>
      </c>
      <c r="E494" s="5"/>
      <c r="F494" s="5"/>
      <c r="G494" s="5"/>
      <c r="H494" s="21" t="str">
        <f>IF(E494=""," - ",(IFERROR(VLOOKUP(E494,Prices!A:B,2,0),1)))</f>
        <v xml:space="preserve"> - </v>
      </c>
    </row>
    <row r="495" spans="1:8" x14ac:dyDescent="0.25">
      <c r="A495" s="3"/>
      <c r="B495" s="3"/>
      <c r="C495" s="18" t="str">
        <f t="shared" si="10"/>
        <v/>
      </c>
      <c r="D495" s="5">
        <v>493</v>
      </c>
      <c r="E495" s="5"/>
      <c r="F495" s="5"/>
      <c r="G495" s="5"/>
      <c r="H495" s="21" t="str">
        <f>IF(E495=""," - ",(IFERROR(VLOOKUP(E495,Prices!A:B,2,0),1)))</f>
        <v xml:space="preserve"> - </v>
      </c>
    </row>
    <row r="496" spans="1:8" x14ac:dyDescent="0.25">
      <c r="A496" s="3"/>
      <c r="B496" s="3"/>
      <c r="C496" s="18" t="str">
        <f t="shared" si="10"/>
        <v/>
      </c>
      <c r="D496" s="5">
        <v>494</v>
      </c>
      <c r="E496" s="5"/>
      <c r="F496" s="5"/>
      <c r="G496" s="5"/>
      <c r="H496" s="21" t="str">
        <f>IF(E496=""," - ",(IFERROR(VLOOKUP(E496,Prices!A:B,2,0),1)))</f>
        <v xml:space="preserve"> - </v>
      </c>
    </row>
    <row r="497" spans="1:8" x14ac:dyDescent="0.25">
      <c r="A497" s="3"/>
      <c r="B497" s="3"/>
      <c r="C497" s="18" t="str">
        <f t="shared" si="10"/>
        <v/>
      </c>
      <c r="D497" s="5">
        <v>495</v>
      </c>
      <c r="E497" s="5"/>
      <c r="F497" s="5"/>
      <c r="G497" s="5"/>
      <c r="H497" s="21" t="str">
        <f>IF(E497=""," - ",(IFERROR(VLOOKUP(E497,Prices!A:B,2,0),1)))</f>
        <v xml:space="preserve"> - </v>
      </c>
    </row>
    <row r="498" spans="1:8" x14ac:dyDescent="0.25">
      <c r="A498" s="3"/>
      <c r="B498" s="3"/>
      <c r="C498" s="18" t="str">
        <f t="shared" si="10"/>
        <v/>
      </c>
      <c r="D498" s="5">
        <v>496</v>
      </c>
      <c r="E498" s="5"/>
      <c r="F498" s="5"/>
      <c r="G498" s="5"/>
      <c r="H498" s="21" t="str">
        <f>IF(E498=""," - ",(IFERROR(VLOOKUP(E498,Prices!A:B,2,0),1)))</f>
        <v xml:space="preserve"> - </v>
      </c>
    </row>
    <row r="499" spans="1:8" x14ac:dyDescent="0.25">
      <c r="A499" s="3"/>
      <c r="B499" s="3"/>
      <c r="C499" s="18" t="str">
        <f t="shared" si="10"/>
        <v/>
      </c>
      <c r="D499" s="5">
        <v>497</v>
      </c>
      <c r="E499" s="5"/>
      <c r="F499" s="5"/>
      <c r="G499" s="5"/>
      <c r="H499" s="21" t="str">
        <f>IF(E499=""," - ",(IFERROR(VLOOKUP(E499,Prices!A:B,2,0),1)))</f>
        <v xml:space="preserve"> - </v>
      </c>
    </row>
    <row r="500" spans="1:8" x14ac:dyDescent="0.25">
      <c r="A500" s="3"/>
      <c r="B500" s="3"/>
      <c r="C500" s="18" t="str">
        <f t="shared" si="10"/>
        <v/>
      </c>
      <c r="D500" s="5">
        <v>498</v>
      </c>
      <c r="E500" s="5"/>
      <c r="F500" s="5"/>
      <c r="G500" s="5"/>
      <c r="H500" s="21" t="str">
        <f>IF(E500=""," - ",(IFERROR(VLOOKUP(E500,Prices!A:B,2,0),1)))</f>
        <v xml:space="preserve"> - </v>
      </c>
    </row>
    <row r="501" spans="1:8" x14ac:dyDescent="0.25">
      <c r="A501" s="3"/>
      <c r="B501" s="3"/>
      <c r="C501" s="18" t="str">
        <f t="shared" si="10"/>
        <v/>
      </c>
      <c r="D501" s="5">
        <v>499</v>
      </c>
      <c r="E501" s="5"/>
      <c r="F501" s="5"/>
      <c r="G501" s="5"/>
      <c r="H501" s="21" t="str">
        <f>IF(E501=""," - ",(IFERROR(VLOOKUP(E501,Prices!A:B,2,0),1)))</f>
        <v xml:space="preserve"> - </v>
      </c>
    </row>
    <row r="502" spans="1:8" x14ac:dyDescent="0.25">
      <c r="A502" s="3"/>
      <c r="B502" s="3"/>
      <c r="C502" s="18" t="str">
        <f t="shared" si="10"/>
        <v/>
      </c>
      <c r="D502" s="5">
        <v>500</v>
      </c>
      <c r="E502" s="5"/>
      <c r="F502" s="5"/>
      <c r="G502" s="5"/>
      <c r="H502" s="21" t="str">
        <f>IF(E502=""," - ",(IFERROR(VLOOKUP(E502,Prices!A:B,2,0),1)))</f>
        <v xml:space="preserve"> - </v>
      </c>
    </row>
    <row r="503" spans="1:8" x14ac:dyDescent="0.25">
      <c r="D503" s="1"/>
    </row>
  </sheetData>
  <autoFilter ref="D2:H2" xr:uid="{FF538A66-F900-42C1-8BB1-FCF36042DB7B}"/>
  <dataValidations count="2">
    <dataValidation type="whole" operator="greaterThan" allowBlank="1" showInputMessage="1" showErrorMessage="1" sqref="B3" xr:uid="{F2BDBB07-94C4-439E-BBD2-319CFF1A4374}">
      <formula1>0</formula1>
    </dataValidation>
    <dataValidation type="whole" allowBlank="1" showInputMessage="1" showErrorMessage="1" sqref="E3:E502" xr:uid="{CE2B5E31-A464-42C4-A5E1-09425A7FC053}">
      <formula1>1</formula1>
      <formula2>99999999999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CA0E31C-E8C3-4052-A98D-34AFAD80B3F4}">
          <x14:formula1>
            <xm:f>'Data Validation'!$Q$5:$Q$9</xm:f>
          </x14:formula1>
          <xm:sqref>B6</xm:sqref>
        </x14:dataValidation>
        <x14:dataValidation type="list" allowBlank="1" showInputMessage="1" showErrorMessage="1" xr:uid="{01E388B3-2629-4E23-B69C-117A18EE5E44}">
          <x14:formula1>
            <xm:f>'Data Validation'!$AA$5:$AA$6</xm:f>
          </x14:formula1>
          <xm:sqref>B11</xm:sqref>
        </x14:dataValidation>
        <x14:dataValidation type="list" allowBlank="1" showInputMessage="1" showErrorMessage="1" xr:uid="{C9271B7C-B7A1-4AB6-BED5-4496467B07F8}">
          <x14:formula1>
            <xm:f>'Data Validation'!$I$6:$I$11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BBFE9-186D-4397-8DEA-D08313F04CCF}">
  <sheetPr codeName="Planilha1">
    <tabColor rgb="FF00B050"/>
  </sheetPr>
  <dimension ref="A1:E224"/>
  <sheetViews>
    <sheetView workbookViewId="0">
      <pane ySplit="1" topLeftCell="A47" activePane="bottomLeft" state="frozen"/>
      <selection pane="bottomLeft" activeCell="A47" sqref="A47"/>
    </sheetView>
  </sheetViews>
  <sheetFormatPr defaultRowHeight="15" x14ac:dyDescent="0.25"/>
  <cols>
    <col min="1" max="1" width="9.140625" style="1"/>
    <col min="2" max="2" width="9.140625" style="27"/>
  </cols>
  <sheetData>
    <row r="1" spans="1:5" x14ac:dyDescent="0.25">
      <c r="A1" s="24" t="s">
        <v>17</v>
      </c>
      <c r="B1" s="25" t="s">
        <v>18</v>
      </c>
    </row>
    <row r="2" spans="1:5" x14ac:dyDescent="0.25">
      <c r="A2">
        <v>61118</v>
      </c>
      <c r="B2" s="26">
        <v>19</v>
      </c>
      <c r="E2" s="26"/>
    </row>
    <row r="3" spans="1:5" x14ac:dyDescent="0.25">
      <c r="A3">
        <v>96558</v>
      </c>
      <c r="B3" s="26">
        <v>60</v>
      </c>
    </row>
    <row r="4" spans="1:5" x14ac:dyDescent="0.25">
      <c r="A4">
        <v>67912</v>
      </c>
      <c r="B4" s="26">
        <v>169</v>
      </c>
    </row>
    <row r="5" spans="1:5" x14ac:dyDescent="0.25">
      <c r="A5">
        <v>68706</v>
      </c>
      <c r="B5" s="26">
        <v>92</v>
      </c>
    </row>
    <row r="6" spans="1:5" x14ac:dyDescent="0.25">
      <c r="A6">
        <v>81754</v>
      </c>
      <c r="B6" s="26">
        <v>37</v>
      </c>
    </row>
    <row r="7" spans="1:5" x14ac:dyDescent="0.25">
      <c r="A7">
        <v>43301</v>
      </c>
      <c r="B7" s="26">
        <v>56</v>
      </c>
    </row>
    <row r="8" spans="1:5" x14ac:dyDescent="0.25">
      <c r="A8">
        <v>994</v>
      </c>
      <c r="B8" s="26">
        <v>104</v>
      </c>
    </row>
    <row r="9" spans="1:5" x14ac:dyDescent="0.25">
      <c r="A9">
        <v>26782</v>
      </c>
      <c r="B9" s="26">
        <v>163</v>
      </c>
    </row>
    <row r="10" spans="1:5" x14ac:dyDescent="0.25">
      <c r="A10">
        <v>76798</v>
      </c>
      <c r="B10" s="26">
        <v>123</v>
      </c>
    </row>
    <row r="11" spans="1:5" x14ac:dyDescent="0.25">
      <c r="A11">
        <v>77814</v>
      </c>
      <c r="B11" s="26">
        <v>192</v>
      </c>
    </row>
    <row r="12" spans="1:5" x14ac:dyDescent="0.25">
      <c r="A12">
        <v>97163</v>
      </c>
      <c r="B12" s="26">
        <v>27</v>
      </c>
    </row>
    <row r="13" spans="1:5" x14ac:dyDescent="0.25">
      <c r="A13">
        <v>45042</v>
      </c>
      <c r="B13" s="26">
        <v>196</v>
      </c>
    </row>
    <row r="14" spans="1:5" x14ac:dyDescent="0.25">
      <c r="A14">
        <v>94359</v>
      </c>
      <c r="B14" s="26">
        <v>142</v>
      </c>
    </row>
    <row r="15" spans="1:5" x14ac:dyDescent="0.25">
      <c r="A15">
        <v>78703</v>
      </c>
      <c r="B15" s="26">
        <v>37</v>
      </c>
    </row>
    <row r="16" spans="1:5" x14ac:dyDescent="0.25">
      <c r="A16">
        <v>61593</v>
      </c>
      <c r="B16" s="26">
        <v>100</v>
      </c>
    </row>
    <row r="17" spans="1:2" x14ac:dyDescent="0.25">
      <c r="A17">
        <v>97902</v>
      </c>
      <c r="B17" s="26">
        <v>183</v>
      </c>
    </row>
    <row r="18" spans="1:2" x14ac:dyDescent="0.25">
      <c r="A18">
        <v>10670</v>
      </c>
      <c r="B18" s="26">
        <v>151</v>
      </c>
    </row>
    <row r="19" spans="1:2" x14ac:dyDescent="0.25">
      <c r="A19">
        <v>3944</v>
      </c>
      <c r="B19" s="26">
        <v>131</v>
      </c>
    </row>
    <row r="20" spans="1:2" x14ac:dyDescent="0.25">
      <c r="A20">
        <v>34834</v>
      </c>
      <c r="B20" s="26">
        <v>123</v>
      </c>
    </row>
    <row r="21" spans="1:2" x14ac:dyDescent="0.25">
      <c r="A21">
        <v>20964</v>
      </c>
      <c r="B21" s="26">
        <v>40</v>
      </c>
    </row>
    <row r="22" spans="1:2" x14ac:dyDescent="0.25">
      <c r="A22">
        <v>14976</v>
      </c>
      <c r="B22" s="26">
        <v>14</v>
      </c>
    </row>
    <row r="23" spans="1:2" x14ac:dyDescent="0.25">
      <c r="A23">
        <v>10004</v>
      </c>
      <c r="B23" s="26">
        <v>10</v>
      </c>
    </row>
    <row r="24" spans="1:2" x14ac:dyDescent="0.25">
      <c r="A24">
        <v>94408</v>
      </c>
      <c r="B24" s="26">
        <v>191</v>
      </c>
    </row>
    <row r="25" spans="1:2" x14ac:dyDescent="0.25">
      <c r="A25">
        <v>14986</v>
      </c>
      <c r="B25" s="26">
        <v>108</v>
      </c>
    </row>
    <row r="26" spans="1:2" x14ac:dyDescent="0.25">
      <c r="A26">
        <v>68558</v>
      </c>
      <c r="B26" s="26">
        <v>3</v>
      </c>
    </row>
    <row r="27" spans="1:2" x14ac:dyDescent="0.25">
      <c r="A27">
        <v>79563</v>
      </c>
      <c r="B27" s="26">
        <v>16</v>
      </c>
    </row>
    <row r="28" spans="1:2" x14ac:dyDescent="0.25">
      <c r="A28">
        <v>51098</v>
      </c>
      <c r="B28" s="26">
        <v>122</v>
      </c>
    </row>
    <row r="29" spans="1:2" x14ac:dyDescent="0.25">
      <c r="A29">
        <v>11372</v>
      </c>
      <c r="B29" s="26">
        <v>167</v>
      </c>
    </row>
    <row r="30" spans="1:2" x14ac:dyDescent="0.25">
      <c r="A30">
        <v>34996</v>
      </c>
      <c r="B30" s="26">
        <v>63</v>
      </c>
    </row>
    <row r="31" spans="1:2" x14ac:dyDescent="0.25">
      <c r="A31">
        <v>68503</v>
      </c>
      <c r="B31" s="26">
        <v>87</v>
      </c>
    </row>
    <row r="32" spans="1:2" x14ac:dyDescent="0.25">
      <c r="A32">
        <v>10724</v>
      </c>
      <c r="B32" s="26">
        <v>48</v>
      </c>
    </row>
    <row r="33" spans="1:2" x14ac:dyDescent="0.25">
      <c r="A33">
        <v>54428</v>
      </c>
      <c r="B33" s="26">
        <v>52</v>
      </c>
    </row>
    <row r="34" spans="1:2" x14ac:dyDescent="0.25">
      <c r="A34">
        <v>84750</v>
      </c>
      <c r="B34" s="26">
        <v>147</v>
      </c>
    </row>
    <row r="35" spans="1:2" x14ac:dyDescent="0.25">
      <c r="A35">
        <v>59067</v>
      </c>
      <c r="B35" s="26">
        <v>35</v>
      </c>
    </row>
    <row r="36" spans="1:2" x14ac:dyDescent="0.25">
      <c r="A36">
        <v>45415</v>
      </c>
      <c r="B36" s="26">
        <v>72</v>
      </c>
    </row>
    <row r="37" spans="1:2" x14ac:dyDescent="0.25">
      <c r="A37">
        <v>69181</v>
      </c>
      <c r="B37" s="26">
        <v>170</v>
      </c>
    </row>
    <row r="38" spans="1:2" x14ac:dyDescent="0.25">
      <c r="A38">
        <v>58275</v>
      </c>
      <c r="B38" s="26">
        <v>43</v>
      </c>
    </row>
    <row r="39" spans="1:2" x14ac:dyDescent="0.25">
      <c r="A39">
        <v>80556</v>
      </c>
      <c r="B39" s="26">
        <v>14</v>
      </c>
    </row>
    <row r="40" spans="1:2" x14ac:dyDescent="0.25">
      <c r="A40">
        <v>62453</v>
      </c>
      <c r="B40" s="26">
        <v>129</v>
      </c>
    </row>
    <row r="41" spans="1:2" x14ac:dyDescent="0.25">
      <c r="A41">
        <v>9142</v>
      </c>
      <c r="B41" s="26">
        <v>104</v>
      </c>
    </row>
    <row r="42" spans="1:2" x14ac:dyDescent="0.25">
      <c r="A42">
        <v>38386</v>
      </c>
      <c r="B42" s="26">
        <v>183</v>
      </c>
    </row>
    <row r="43" spans="1:2" x14ac:dyDescent="0.25">
      <c r="A43">
        <v>19906</v>
      </c>
      <c r="B43" s="26">
        <v>64</v>
      </c>
    </row>
    <row r="44" spans="1:2" x14ac:dyDescent="0.25">
      <c r="A44">
        <v>42907</v>
      </c>
      <c r="B44" s="26">
        <v>21</v>
      </c>
    </row>
    <row r="45" spans="1:2" x14ac:dyDescent="0.25">
      <c r="A45">
        <v>30349</v>
      </c>
      <c r="B45" s="26">
        <v>196</v>
      </c>
    </row>
    <row r="46" spans="1:2" x14ac:dyDescent="0.25">
      <c r="A46">
        <v>68214</v>
      </c>
      <c r="B46" s="26">
        <v>183</v>
      </c>
    </row>
    <row r="47" spans="1:2" x14ac:dyDescent="0.25">
      <c r="A47">
        <v>13713</v>
      </c>
      <c r="B47" s="26">
        <v>36</v>
      </c>
    </row>
    <row r="48" spans="1:2" x14ac:dyDescent="0.25">
      <c r="A48">
        <v>86392</v>
      </c>
      <c r="B48" s="26">
        <v>55</v>
      </c>
    </row>
    <row r="49" spans="1:2" x14ac:dyDescent="0.25">
      <c r="A49">
        <v>61357</v>
      </c>
      <c r="B49" s="26">
        <v>170</v>
      </c>
    </row>
    <row r="50" spans="1:2" x14ac:dyDescent="0.25">
      <c r="A50">
        <v>12305</v>
      </c>
      <c r="B50" s="26">
        <v>16</v>
      </c>
    </row>
    <row r="51" spans="1:2" x14ac:dyDescent="0.25">
      <c r="A51">
        <v>28058</v>
      </c>
      <c r="B51" s="26">
        <v>12</v>
      </c>
    </row>
    <row r="52" spans="1:2" x14ac:dyDescent="0.25">
      <c r="A52">
        <v>75211</v>
      </c>
      <c r="B52" s="26">
        <v>120</v>
      </c>
    </row>
    <row r="53" spans="1:2" x14ac:dyDescent="0.25">
      <c r="A53">
        <v>91637</v>
      </c>
      <c r="B53" s="26">
        <v>79</v>
      </c>
    </row>
    <row r="54" spans="1:2" x14ac:dyDescent="0.25">
      <c r="A54">
        <v>50228</v>
      </c>
      <c r="B54" s="26">
        <v>55</v>
      </c>
    </row>
    <row r="55" spans="1:2" x14ac:dyDescent="0.25">
      <c r="A55">
        <v>11174</v>
      </c>
      <c r="B55" s="26">
        <v>184</v>
      </c>
    </row>
    <row r="56" spans="1:2" x14ac:dyDescent="0.25">
      <c r="A56">
        <v>45942</v>
      </c>
      <c r="B56" s="26">
        <v>66</v>
      </c>
    </row>
    <row r="57" spans="1:2" x14ac:dyDescent="0.25">
      <c r="A57">
        <v>48844</v>
      </c>
      <c r="B57" s="26">
        <v>119</v>
      </c>
    </row>
    <row r="58" spans="1:2" x14ac:dyDescent="0.25">
      <c r="A58">
        <v>50712</v>
      </c>
      <c r="B58" s="26">
        <v>140</v>
      </c>
    </row>
    <row r="59" spans="1:2" x14ac:dyDescent="0.25">
      <c r="A59">
        <v>37967</v>
      </c>
      <c r="B59" s="26">
        <v>165</v>
      </c>
    </row>
    <row r="60" spans="1:2" x14ac:dyDescent="0.25">
      <c r="A60">
        <v>39647</v>
      </c>
      <c r="B60" s="26">
        <v>106</v>
      </c>
    </row>
    <row r="61" spans="1:2" x14ac:dyDescent="0.25">
      <c r="A61">
        <v>65046</v>
      </c>
      <c r="B61" s="26">
        <v>3</v>
      </c>
    </row>
    <row r="62" spans="1:2" x14ac:dyDescent="0.25">
      <c r="A62">
        <v>74996</v>
      </c>
      <c r="B62" s="26">
        <v>95</v>
      </c>
    </row>
    <row r="63" spans="1:2" x14ac:dyDescent="0.25">
      <c r="A63">
        <v>8673</v>
      </c>
      <c r="B63" s="26">
        <v>23</v>
      </c>
    </row>
    <row r="64" spans="1:2" x14ac:dyDescent="0.25">
      <c r="A64">
        <v>39674</v>
      </c>
      <c r="B64" s="26">
        <v>191</v>
      </c>
    </row>
    <row r="65" spans="1:2" x14ac:dyDescent="0.25">
      <c r="A65">
        <v>23900</v>
      </c>
      <c r="B65" s="26">
        <v>65</v>
      </c>
    </row>
    <row r="66" spans="1:2" x14ac:dyDescent="0.25">
      <c r="A66">
        <v>72432</v>
      </c>
      <c r="B66" s="26">
        <v>111</v>
      </c>
    </row>
    <row r="67" spans="1:2" x14ac:dyDescent="0.25">
      <c r="A67">
        <v>26974</v>
      </c>
      <c r="B67" s="26">
        <v>84</v>
      </c>
    </row>
    <row r="68" spans="1:2" x14ac:dyDescent="0.25">
      <c r="A68">
        <v>23417</v>
      </c>
      <c r="B68" s="26">
        <v>4</v>
      </c>
    </row>
    <row r="69" spans="1:2" x14ac:dyDescent="0.25">
      <c r="A69">
        <v>56341</v>
      </c>
      <c r="B69" s="26">
        <v>125</v>
      </c>
    </row>
    <row r="70" spans="1:2" x14ac:dyDescent="0.25">
      <c r="A70">
        <v>53495</v>
      </c>
      <c r="B70" s="26">
        <v>26</v>
      </c>
    </row>
    <row r="71" spans="1:2" x14ac:dyDescent="0.25">
      <c r="A71">
        <v>13932</v>
      </c>
      <c r="B71" s="26">
        <v>77</v>
      </c>
    </row>
    <row r="72" spans="1:2" x14ac:dyDescent="0.25">
      <c r="A72">
        <v>86111</v>
      </c>
      <c r="B72" s="26">
        <v>188</v>
      </c>
    </row>
    <row r="73" spans="1:2" x14ac:dyDescent="0.25">
      <c r="A73">
        <v>90432</v>
      </c>
      <c r="B73" s="26">
        <v>45</v>
      </c>
    </row>
    <row r="74" spans="1:2" x14ac:dyDescent="0.25">
      <c r="A74">
        <v>66513</v>
      </c>
      <c r="B74" s="26">
        <v>144</v>
      </c>
    </row>
    <row r="75" spans="1:2" x14ac:dyDescent="0.25">
      <c r="A75">
        <v>86171</v>
      </c>
      <c r="B75" s="26">
        <v>162</v>
      </c>
    </row>
    <row r="76" spans="1:2" x14ac:dyDescent="0.25">
      <c r="A76">
        <v>38474</v>
      </c>
      <c r="B76" s="26">
        <v>21</v>
      </c>
    </row>
    <row r="77" spans="1:2" x14ac:dyDescent="0.25">
      <c r="A77">
        <v>37440</v>
      </c>
      <c r="B77" s="26">
        <v>178</v>
      </c>
    </row>
    <row r="78" spans="1:2" x14ac:dyDescent="0.25">
      <c r="A78">
        <v>47740</v>
      </c>
      <c r="B78" s="26">
        <v>20</v>
      </c>
    </row>
    <row r="79" spans="1:2" x14ac:dyDescent="0.25">
      <c r="A79">
        <v>75450</v>
      </c>
      <c r="B79" s="26">
        <v>192</v>
      </c>
    </row>
    <row r="80" spans="1:2" x14ac:dyDescent="0.25">
      <c r="A80">
        <v>5367</v>
      </c>
      <c r="B80" s="26">
        <v>152</v>
      </c>
    </row>
    <row r="81" spans="1:2" x14ac:dyDescent="0.25">
      <c r="A81">
        <v>81280</v>
      </c>
      <c r="B81" s="26">
        <v>89</v>
      </c>
    </row>
    <row r="82" spans="1:2" x14ac:dyDescent="0.25">
      <c r="A82">
        <v>6639</v>
      </c>
      <c r="B82" s="26">
        <v>69</v>
      </c>
    </row>
    <row r="83" spans="1:2" x14ac:dyDescent="0.25">
      <c r="A83">
        <v>28643</v>
      </c>
      <c r="B83" s="26">
        <v>111</v>
      </c>
    </row>
    <row r="84" spans="1:2" x14ac:dyDescent="0.25">
      <c r="A84">
        <v>90559</v>
      </c>
      <c r="B84" s="26">
        <v>67</v>
      </c>
    </row>
    <row r="85" spans="1:2" x14ac:dyDescent="0.25">
      <c r="A85">
        <v>74732</v>
      </c>
      <c r="B85" s="26">
        <v>129</v>
      </c>
    </row>
    <row r="86" spans="1:2" x14ac:dyDescent="0.25">
      <c r="A86">
        <v>95747</v>
      </c>
      <c r="B86" s="26">
        <v>176</v>
      </c>
    </row>
    <row r="87" spans="1:2" x14ac:dyDescent="0.25">
      <c r="A87">
        <v>73026</v>
      </c>
      <c r="B87" s="26">
        <v>188</v>
      </c>
    </row>
    <row r="88" spans="1:2" x14ac:dyDescent="0.25">
      <c r="A88">
        <v>12122</v>
      </c>
      <c r="B88" s="26">
        <v>146</v>
      </c>
    </row>
    <row r="89" spans="1:2" x14ac:dyDescent="0.25">
      <c r="A89">
        <v>25277</v>
      </c>
      <c r="B89" s="26">
        <v>155</v>
      </c>
    </row>
    <row r="90" spans="1:2" x14ac:dyDescent="0.25">
      <c r="A90">
        <v>91214</v>
      </c>
      <c r="B90" s="26">
        <v>9</v>
      </c>
    </row>
    <row r="91" spans="1:2" x14ac:dyDescent="0.25">
      <c r="A91">
        <v>28015</v>
      </c>
      <c r="B91" s="26">
        <v>155</v>
      </c>
    </row>
    <row r="92" spans="1:2" x14ac:dyDescent="0.25">
      <c r="A92">
        <v>64081</v>
      </c>
      <c r="B92" s="26">
        <v>183</v>
      </c>
    </row>
    <row r="93" spans="1:2" x14ac:dyDescent="0.25">
      <c r="A93">
        <v>97673</v>
      </c>
      <c r="B93" s="26">
        <v>189</v>
      </c>
    </row>
    <row r="94" spans="1:2" x14ac:dyDescent="0.25">
      <c r="A94">
        <v>4181</v>
      </c>
      <c r="B94" s="26">
        <v>105</v>
      </c>
    </row>
    <row r="95" spans="1:2" x14ac:dyDescent="0.25">
      <c r="A95">
        <v>97508</v>
      </c>
      <c r="B95" s="26">
        <v>143</v>
      </c>
    </row>
    <row r="96" spans="1:2" x14ac:dyDescent="0.25">
      <c r="A96">
        <v>71163</v>
      </c>
      <c r="B96" s="26">
        <v>38</v>
      </c>
    </row>
    <row r="97" spans="1:2" x14ac:dyDescent="0.25">
      <c r="A97">
        <v>84184</v>
      </c>
      <c r="B97" s="26">
        <v>192</v>
      </c>
    </row>
    <row r="98" spans="1:2" x14ac:dyDescent="0.25">
      <c r="A98">
        <v>58178</v>
      </c>
      <c r="B98" s="26">
        <v>31</v>
      </c>
    </row>
    <row r="99" spans="1:2" x14ac:dyDescent="0.25">
      <c r="A99">
        <v>48040</v>
      </c>
      <c r="B99" s="26">
        <v>25</v>
      </c>
    </row>
    <row r="100" spans="1:2" x14ac:dyDescent="0.25">
      <c r="A100">
        <v>57599</v>
      </c>
      <c r="B100" s="26">
        <v>82</v>
      </c>
    </row>
    <row r="101" spans="1:2" x14ac:dyDescent="0.25">
      <c r="A101">
        <v>33130</v>
      </c>
      <c r="B101" s="26">
        <v>199</v>
      </c>
    </row>
    <row r="102" spans="1:2" x14ac:dyDescent="0.25">
      <c r="A102">
        <v>33932</v>
      </c>
      <c r="B102" s="26">
        <v>104</v>
      </c>
    </row>
    <row r="103" spans="1:2" x14ac:dyDescent="0.25">
      <c r="A103">
        <v>96591</v>
      </c>
      <c r="B103" s="26">
        <v>54</v>
      </c>
    </row>
    <row r="104" spans="1:2" x14ac:dyDescent="0.25">
      <c r="A104">
        <v>6253</v>
      </c>
      <c r="B104" s="26">
        <v>37</v>
      </c>
    </row>
    <row r="105" spans="1:2" x14ac:dyDescent="0.25">
      <c r="A105">
        <v>79432</v>
      </c>
      <c r="B105" s="26">
        <v>190</v>
      </c>
    </row>
    <row r="106" spans="1:2" x14ac:dyDescent="0.25">
      <c r="A106">
        <v>27568</v>
      </c>
      <c r="B106" s="26">
        <v>50</v>
      </c>
    </row>
    <row r="107" spans="1:2" x14ac:dyDescent="0.25">
      <c r="A107">
        <v>79583</v>
      </c>
      <c r="B107" s="26">
        <v>70</v>
      </c>
    </row>
    <row r="108" spans="1:2" x14ac:dyDescent="0.25">
      <c r="A108">
        <v>12185</v>
      </c>
      <c r="B108" s="26">
        <v>89</v>
      </c>
    </row>
    <row r="109" spans="1:2" x14ac:dyDescent="0.25">
      <c r="A109">
        <v>32202</v>
      </c>
      <c r="B109" s="26">
        <v>100</v>
      </c>
    </row>
    <row r="110" spans="1:2" x14ac:dyDescent="0.25">
      <c r="A110">
        <v>33418</v>
      </c>
      <c r="B110" s="26">
        <v>156</v>
      </c>
    </row>
    <row r="111" spans="1:2" x14ac:dyDescent="0.25">
      <c r="A111">
        <v>69077</v>
      </c>
      <c r="B111" s="26">
        <v>115</v>
      </c>
    </row>
    <row r="112" spans="1:2" x14ac:dyDescent="0.25">
      <c r="A112">
        <v>8908</v>
      </c>
      <c r="B112" s="26">
        <v>176</v>
      </c>
    </row>
    <row r="113" spans="1:2" x14ac:dyDescent="0.25">
      <c r="A113">
        <v>50534</v>
      </c>
      <c r="B113" s="26">
        <v>43</v>
      </c>
    </row>
    <row r="114" spans="1:2" x14ac:dyDescent="0.25">
      <c r="A114">
        <v>66918</v>
      </c>
      <c r="B114" s="26">
        <v>147</v>
      </c>
    </row>
    <row r="115" spans="1:2" x14ac:dyDescent="0.25">
      <c r="A115">
        <v>71742</v>
      </c>
      <c r="B115" s="26">
        <v>66</v>
      </c>
    </row>
    <row r="116" spans="1:2" x14ac:dyDescent="0.25">
      <c r="A116">
        <v>95675</v>
      </c>
      <c r="B116" s="26">
        <v>23</v>
      </c>
    </row>
    <row r="117" spans="1:2" x14ac:dyDescent="0.25">
      <c r="A117">
        <v>34921</v>
      </c>
      <c r="B117" s="26">
        <v>186</v>
      </c>
    </row>
    <row r="118" spans="1:2" x14ac:dyDescent="0.25">
      <c r="A118">
        <v>17973</v>
      </c>
      <c r="B118" s="26">
        <v>51</v>
      </c>
    </row>
    <row r="119" spans="1:2" x14ac:dyDescent="0.25">
      <c r="A119">
        <v>20329</v>
      </c>
      <c r="B119" s="26">
        <v>93</v>
      </c>
    </row>
    <row r="120" spans="1:2" x14ac:dyDescent="0.25">
      <c r="A120">
        <v>71028</v>
      </c>
      <c r="B120" s="26">
        <v>47</v>
      </c>
    </row>
    <row r="121" spans="1:2" x14ac:dyDescent="0.25">
      <c r="A121">
        <v>42118</v>
      </c>
      <c r="B121" s="26">
        <v>140</v>
      </c>
    </row>
    <row r="122" spans="1:2" x14ac:dyDescent="0.25">
      <c r="A122">
        <v>72523</v>
      </c>
      <c r="B122" s="26">
        <v>50</v>
      </c>
    </row>
    <row r="123" spans="1:2" x14ac:dyDescent="0.25">
      <c r="A123">
        <v>50584</v>
      </c>
      <c r="B123" s="26">
        <v>161</v>
      </c>
    </row>
    <row r="124" spans="1:2" x14ac:dyDescent="0.25">
      <c r="A124">
        <v>14042</v>
      </c>
      <c r="B124" s="26">
        <v>128</v>
      </c>
    </row>
    <row r="125" spans="1:2" x14ac:dyDescent="0.25">
      <c r="A125">
        <v>41331</v>
      </c>
      <c r="B125" s="26">
        <v>13</v>
      </c>
    </row>
    <row r="126" spans="1:2" x14ac:dyDescent="0.25">
      <c r="A126">
        <v>73853</v>
      </c>
      <c r="B126" s="26">
        <v>108</v>
      </c>
    </row>
    <row r="127" spans="1:2" x14ac:dyDescent="0.25">
      <c r="A127">
        <v>75879</v>
      </c>
      <c r="B127" s="26">
        <v>67</v>
      </c>
    </row>
    <row r="128" spans="1:2" x14ac:dyDescent="0.25">
      <c r="A128">
        <v>65296</v>
      </c>
      <c r="B128" s="26">
        <v>161</v>
      </c>
    </row>
    <row r="129" spans="1:2" x14ac:dyDescent="0.25">
      <c r="A129">
        <v>78677</v>
      </c>
      <c r="B129" s="26">
        <v>131</v>
      </c>
    </row>
    <row r="130" spans="1:2" x14ac:dyDescent="0.25">
      <c r="A130">
        <v>18460</v>
      </c>
      <c r="B130" s="26">
        <v>168</v>
      </c>
    </row>
    <row r="131" spans="1:2" x14ac:dyDescent="0.25">
      <c r="A131">
        <v>21395</v>
      </c>
      <c r="B131" s="26">
        <v>25</v>
      </c>
    </row>
    <row r="132" spans="1:2" x14ac:dyDescent="0.25">
      <c r="A132">
        <v>88228</v>
      </c>
      <c r="B132" s="26">
        <v>77</v>
      </c>
    </row>
    <row r="133" spans="1:2" x14ac:dyDescent="0.25">
      <c r="A133">
        <v>64974</v>
      </c>
      <c r="B133" s="26">
        <v>62</v>
      </c>
    </row>
    <row r="134" spans="1:2" x14ac:dyDescent="0.25">
      <c r="A134">
        <v>86845</v>
      </c>
      <c r="B134" s="26">
        <v>16</v>
      </c>
    </row>
    <row r="135" spans="1:2" x14ac:dyDescent="0.25">
      <c r="A135">
        <v>89184</v>
      </c>
      <c r="B135" s="26">
        <v>165</v>
      </c>
    </row>
    <row r="136" spans="1:2" x14ac:dyDescent="0.25">
      <c r="A136">
        <v>5783</v>
      </c>
      <c r="B136" s="26">
        <v>150</v>
      </c>
    </row>
    <row r="137" spans="1:2" x14ac:dyDescent="0.25">
      <c r="A137">
        <v>5210</v>
      </c>
      <c r="B137" s="26">
        <v>150</v>
      </c>
    </row>
    <row r="138" spans="1:2" x14ac:dyDescent="0.25">
      <c r="A138">
        <v>14426</v>
      </c>
      <c r="B138" s="26">
        <v>46</v>
      </c>
    </row>
    <row r="139" spans="1:2" x14ac:dyDescent="0.25">
      <c r="A139">
        <v>11572</v>
      </c>
      <c r="B139" s="26">
        <v>25</v>
      </c>
    </row>
    <row r="140" spans="1:2" x14ac:dyDescent="0.25">
      <c r="A140">
        <v>14531</v>
      </c>
      <c r="B140" s="26">
        <v>169</v>
      </c>
    </row>
    <row r="141" spans="1:2" x14ac:dyDescent="0.25">
      <c r="A141">
        <v>83572</v>
      </c>
      <c r="B141" s="26">
        <v>9</v>
      </c>
    </row>
    <row r="142" spans="1:2" x14ac:dyDescent="0.25">
      <c r="A142">
        <v>62380</v>
      </c>
      <c r="B142" s="26">
        <v>57</v>
      </c>
    </row>
    <row r="143" spans="1:2" x14ac:dyDescent="0.25">
      <c r="A143">
        <v>70268</v>
      </c>
      <c r="B143" s="26">
        <v>70</v>
      </c>
    </row>
    <row r="144" spans="1:2" x14ac:dyDescent="0.25">
      <c r="A144">
        <v>41142</v>
      </c>
      <c r="B144" s="26">
        <v>159</v>
      </c>
    </row>
    <row r="145" spans="1:2" x14ac:dyDescent="0.25">
      <c r="A145">
        <v>38658</v>
      </c>
      <c r="B145" s="26">
        <v>37</v>
      </c>
    </row>
    <row r="146" spans="1:2" x14ac:dyDescent="0.25">
      <c r="A146">
        <v>19843</v>
      </c>
      <c r="B146" s="26">
        <v>43</v>
      </c>
    </row>
    <row r="147" spans="1:2" x14ac:dyDescent="0.25">
      <c r="A147">
        <v>95827</v>
      </c>
      <c r="B147" s="26">
        <v>42</v>
      </c>
    </row>
    <row r="148" spans="1:2" x14ac:dyDescent="0.25">
      <c r="A148">
        <v>37525</v>
      </c>
      <c r="B148" s="26">
        <v>140</v>
      </c>
    </row>
    <row r="149" spans="1:2" x14ac:dyDescent="0.25">
      <c r="A149">
        <v>59830</v>
      </c>
      <c r="B149" s="26">
        <v>108</v>
      </c>
    </row>
    <row r="150" spans="1:2" x14ac:dyDescent="0.25">
      <c r="A150">
        <v>97272</v>
      </c>
      <c r="B150" s="26">
        <v>69</v>
      </c>
    </row>
    <row r="151" spans="1:2" x14ac:dyDescent="0.25">
      <c r="A151">
        <v>12553</v>
      </c>
      <c r="B151" s="26">
        <v>161</v>
      </c>
    </row>
    <row r="152" spans="1:2" x14ac:dyDescent="0.25">
      <c r="A152">
        <v>86818</v>
      </c>
      <c r="B152" s="26">
        <v>135</v>
      </c>
    </row>
    <row r="153" spans="1:2" x14ac:dyDescent="0.25">
      <c r="A153">
        <v>18160</v>
      </c>
      <c r="B153" s="26">
        <v>52</v>
      </c>
    </row>
    <row r="154" spans="1:2" x14ac:dyDescent="0.25">
      <c r="A154">
        <v>25854</v>
      </c>
      <c r="B154" s="26">
        <v>112</v>
      </c>
    </row>
    <row r="155" spans="1:2" x14ac:dyDescent="0.25">
      <c r="A155">
        <v>55010</v>
      </c>
      <c r="B155" s="26">
        <v>47</v>
      </c>
    </row>
    <row r="156" spans="1:2" x14ac:dyDescent="0.25">
      <c r="A156">
        <v>59425</v>
      </c>
      <c r="B156" s="26">
        <v>21</v>
      </c>
    </row>
    <row r="157" spans="1:2" x14ac:dyDescent="0.25">
      <c r="A157">
        <v>54837</v>
      </c>
      <c r="B157" s="26">
        <v>138</v>
      </c>
    </row>
    <row r="158" spans="1:2" x14ac:dyDescent="0.25">
      <c r="A158">
        <v>76829</v>
      </c>
      <c r="B158" s="26">
        <v>77</v>
      </c>
    </row>
    <row r="159" spans="1:2" x14ac:dyDescent="0.25">
      <c r="A159">
        <v>98493</v>
      </c>
      <c r="B159" s="26">
        <v>14</v>
      </c>
    </row>
    <row r="160" spans="1:2" x14ac:dyDescent="0.25">
      <c r="A160">
        <v>22767</v>
      </c>
      <c r="B160" s="26">
        <v>80</v>
      </c>
    </row>
    <row r="161" spans="1:2" x14ac:dyDescent="0.25">
      <c r="A161">
        <v>28857</v>
      </c>
      <c r="B161" s="26">
        <v>158</v>
      </c>
    </row>
    <row r="162" spans="1:2" x14ac:dyDescent="0.25">
      <c r="A162">
        <v>3863</v>
      </c>
      <c r="B162" s="26">
        <v>12</v>
      </c>
    </row>
    <row r="163" spans="1:2" x14ac:dyDescent="0.25">
      <c r="A163">
        <v>20330</v>
      </c>
      <c r="B163" s="26">
        <v>68</v>
      </c>
    </row>
    <row r="164" spans="1:2" x14ac:dyDescent="0.25">
      <c r="A164">
        <v>82125</v>
      </c>
      <c r="B164" s="26">
        <v>188</v>
      </c>
    </row>
    <row r="165" spans="1:2" x14ac:dyDescent="0.25">
      <c r="A165">
        <v>11791</v>
      </c>
      <c r="B165" s="26">
        <v>78</v>
      </c>
    </row>
    <row r="166" spans="1:2" x14ac:dyDescent="0.25">
      <c r="A166">
        <v>44930</v>
      </c>
      <c r="B166" s="26">
        <v>107</v>
      </c>
    </row>
    <row r="167" spans="1:2" x14ac:dyDescent="0.25">
      <c r="A167">
        <v>93648</v>
      </c>
      <c r="B167" s="26">
        <v>30</v>
      </c>
    </row>
    <row r="168" spans="1:2" x14ac:dyDescent="0.25">
      <c r="A168">
        <v>96404</v>
      </c>
      <c r="B168" s="26">
        <v>195</v>
      </c>
    </row>
    <row r="169" spans="1:2" x14ac:dyDescent="0.25">
      <c r="A169">
        <v>80865</v>
      </c>
      <c r="B169" s="26">
        <v>116</v>
      </c>
    </row>
    <row r="170" spans="1:2" x14ac:dyDescent="0.25">
      <c r="A170">
        <v>5327</v>
      </c>
      <c r="B170" s="26">
        <v>141</v>
      </c>
    </row>
    <row r="171" spans="1:2" x14ac:dyDescent="0.25">
      <c r="A171">
        <v>53034</v>
      </c>
      <c r="B171" s="26">
        <v>198</v>
      </c>
    </row>
    <row r="172" spans="1:2" x14ac:dyDescent="0.25">
      <c r="A172">
        <v>82560</v>
      </c>
      <c r="B172" s="26">
        <v>39</v>
      </c>
    </row>
    <row r="173" spans="1:2" x14ac:dyDescent="0.25">
      <c r="A173">
        <v>71157</v>
      </c>
      <c r="B173" s="26">
        <v>107</v>
      </c>
    </row>
    <row r="174" spans="1:2" x14ac:dyDescent="0.25">
      <c r="A174">
        <v>95382</v>
      </c>
      <c r="B174" s="26">
        <v>5</v>
      </c>
    </row>
    <row r="175" spans="1:2" x14ac:dyDescent="0.25">
      <c r="A175">
        <v>88113</v>
      </c>
      <c r="B175" s="26">
        <v>52</v>
      </c>
    </row>
    <row r="176" spans="1:2" x14ac:dyDescent="0.25">
      <c r="A176">
        <v>46698</v>
      </c>
      <c r="B176" s="26">
        <v>46</v>
      </c>
    </row>
    <row r="177" spans="1:2" x14ac:dyDescent="0.25">
      <c r="A177">
        <v>86689</v>
      </c>
      <c r="B177" s="26">
        <v>114</v>
      </c>
    </row>
    <row r="178" spans="1:2" x14ac:dyDescent="0.25">
      <c r="A178">
        <v>90500</v>
      </c>
      <c r="B178" s="26">
        <v>123</v>
      </c>
    </row>
    <row r="179" spans="1:2" x14ac:dyDescent="0.25">
      <c r="A179">
        <v>43345</v>
      </c>
      <c r="B179" s="26">
        <v>184</v>
      </c>
    </row>
    <row r="180" spans="1:2" x14ac:dyDescent="0.25">
      <c r="A180">
        <v>88869</v>
      </c>
      <c r="B180" s="26">
        <v>53</v>
      </c>
    </row>
    <row r="181" spans="1:2" x14ac:dyDescent="0.25">
      <c r="A181">
        <v>69267</v>
      </c>
      <c r="B181" s="26">
        <v>11</v>
      </c>
    </row>
    <row r="182" spans="1:2" x14ac:dyDescent="0.25">
      <c r="A182">
        <v>85174</v>
      </c>
      <c r="B182" s="26">
        <v>109</v>
      </c>
    </row>
    <row r="183" spans="1:2" x14ac:dyDescent="0.25">
      <c r="A183">
        <v>5519</v>
      </c>
      <c r="B183" s="26">
        <v>105</v>
      </c>
    </row>
    <row r="184" spans="1:2" x14ac:dyDescent="0.25">
      <c r="A184">
        <v>69983</v>
      </c>
      <c r="B184" s="26">
        <v>176</v>
      </c>
    </row>
    <row r="185" spans="1:2" x14ac:dyDescent="0.25">
      <c r="A185">
        <v>84219</v>
      </c>
      <c r="B185" s="26">
        <v>141</v>
      </c>
    </row>
    <row r="186" spans="1:2" x14ac:dyDescent="0.25">
      <c r="A186">
        <v>22472</v>
      </c>
      <c r="B186" s="26">
        <v>77</v>
      </c>
    </row>
    <row r="187" spans="1:2" x14ac:dyDescent="0.25">
      <c r="A187">
        <v>40465</v>
      </c>
      <c r="B187" s="26">
        <v>97</v>
      </c>
    </row>
    <row r="188" spans="1:2" x14ac:dyDescent="0.25">
      <c r="A188">
        <v>96283</v>
      </c>
      <c r="B188" s="26">
        <v>121</v>
      </c>
    </row>
    <row r="189" spans="1:2" x14ac:dyDescent="0.25">
      <c r="A189">
        <v>96791</v>
      </c>
      <c r="B189" s="26">
        <v>46</v>
      </c>
    </row>
    <row r="190" spans="1:2" x14ac:dyDescent="0.25">
      <c r="A190">
        <v>60473</v>
      </c>
      <c r="B190" s="26">
        <v>122</v>
      </c>
    </row>
    <row r="191" spans="1:2" x14ac:dyDescent="0.25">
      <c r="A191">
        <v>24125</v>
      </c>
      <c r="B191" s="26">
        <v>3</v>
      </c>
    </row>
    <row r="192" spans="1:2" x14ac:dyDescent="0.25">
      <c r="A192">
        <v>40111</v>
      </c>
      <c r="B192" s="26">
        <v>76</v>
      </c>
    </row>
    <row r="193" spans="1:2" x14ac:dyDescent="0.25">
      <c r="A193">
        <v>268</v>
      </c>
      <c r="B193" s="26">
        <v>107</v>
      </c>
    </row>
    <row r="194" spans="1:2" x14ac:dyDescent="0.25">
      <c r="A194">
        <v>95434</v>
      </c>
      <c r="B194" s="26">
        <v>57</v>
      </c>
    </row>
    <row r="195" spans="1:2" x14ac:dyDescent="0.25">
      <c r="A195">
        <v>24844</v>
      </c>
      <c r="B195" s="26">
        <v>145</v>
      </c>
    </row>
    <row r="196" spans="1:2" x14ac:dyDescent="0.25">
      <c r="A196">
        <v>59733</v>
      </c>
      <c r="B196" s="26">
        <v>147</v>
      </c>
    </row>
    <row r="197" spans="1:2" x14ac:dyDescent="0.25">
      <c r="A197">
        <v>75252</v>
      </c>
      <c r="B197" s="26">
        <v>98</v>
      </c>
    </row>
    <row r="198" spans="1:2" x14ac:dyDescent="0.25">
      <c r="A198">
        <v>35890</v>
      </c>
      <c r="B198" s="26">
        <v>27</v>
      </c>
    </row>
    <row r="199" spans="1:2" x14ac:dyDescent="0.25">
      <c r="A199">
        <v>70992</v>
      </c>
      <c r="B199" s="26">
        <v>6</v>
      </c>
    </row>
    <row r="200" spans="1:2" x14ac:dyDescent="0.25">
      <c r="A200">
        <v>66142</v>
      </c>
      <c r="B200" s="26">
        <v>70</v>
      </c>
    </row>
    <row r="201" spans="1:2" x14ac:dyDescent="0.25">
      <c r="A201">
        <v>25166</v>
      </c>
      <c r="B201" s="26">
        <v>51</v>
      </c>
    </row>
    <row r="202" spans="1:2" x14ac:dyDescent="0.25">
      <c r="A202"/>
      <c r="B202" s="26"/>
    </row>
    <row r="203" spans="1:2" x14ac:dyDescent="0.25">
      <c r="A203"/>
      <c r="B203" s="26"/>
    </row>
    <row r="204" spans="1:2" x14ac:dyDescent="0.25">
      <c r="A204"/>
      <c r="B204" s="26"/>
    </row>
    <row r="205" spans="1:2" x14ac:dyDescent="0.25">
      <c r="A205"/>
      <c r="B205" s="26"/>
    </row>
    <row r="206" spans="1:2" x14ac:dyDescent="0.25">
      <c r="A206"/>
      <c r="B206" s="26"/>
    </row>
    <row r="207" spans="1:2" x14ac:dyDescent="0.25">
      <c r="A207"/>
      <c r="B207" s="26"/>
    </row>
    <row r="208" spans="1:2" x14ac:dyDescent="0.25">
      <c r="A208"/>
      <c r="B208" s="26"/>
    </row>
    <row r="209" spans="1:2" x14ac:dyDescent="0.25">
      <c r="A209"/>
      <c r="B209" s="26"/>
    </row>
    <row r="210" spans="1:2" x14ac:dyDescent="0.25">
      <c r="A210"/>
      <c r="B210" s="26"/>
    </row>
    <row r="211" spans="1:2" x14ac:dyDescent="0.25">
      <c r="A211"/>
      <c r="B211" s="26"/>
    </row>
    <row r="212" spans="1:2" x14ac:dyDescent="0.25">
      <c r="A212"/>
      <c r="B212" s="26"/>
    </row>
    <row r="213" spans="1:2" x14ac:dyDescent="0.25">
      <c r="A213"/>
      <c r="B213" s="26"/>
    </row>
    <row r="214" spans="1:2" x14ac:dyDescent="0.25">
      <c r="A214"/>
      <c r="B214" s="26"/>
    </row>
    <row r="215" spans="1:2" x14ac:dyDescent="0.25">
      <c r="A215"/>
      <c r="B215" s="26"/>
    </row>
    <row r="216" spans="1:2" x14ac:dyDescent="0.25">
      <c r="A216"/>
      <c r="B216" s="26"/>
    </row>
    <row r="217" spans="1:2" x14ac:dyDescent="0.25">
      <c r="A217"/>
      <c r="B217" s="26"/>
    </row>
    <row r="218" spans="1:2" x14ac:dyDescent="0.25">
      <c r="A218"/>
      <c r="B218" s="26"/>
    </row>
    <row r="219" spans="1:2" x14ac:dyDescent="0.25">
      <c r="A219"/>
      <c r="B219" s="26"/>
    </row>
    <row r="220" spans="1:2" x14ac:dyDescent="0.25">
      <c r="A220"/>
      <c r="B220" s="26"/>
    </row>
    <row r="221" spans="1:2" x14ac:dyDescent="0.25">
      <c r="A221"/>
      <c r="B221" s="26"/>
    </row>
    <row r="222" spans="1:2" x14ac:dyDescent="0.25">
      <c r="A222"/>
      <c r="B222" s="26"/>
    </row>
    <row r="223" spans="1:2" x14ac:dyDescent="0.25">
      <c r="A223"/>
      <c r="B223" s="26"/>
    </row>
    <row r="224" spans="1:2" x14ac:dyDescent="0.25">
      <c r="A224"/>
      <c r="B224" s="26"/>
    </row>
  </sheetData>
  <autoFilter ref="A1:B1397" xr:uid="{DA7ACEBD-6B31-4D3B-BA6B-BD8125E5E722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2DE77-754C-4381-922D-829211B41C32}">
  <sheetPr codeName="Planilha5">
    <tabColor theme="1"/>
  </sheetPr>
  <dimension ref="A5:AA22"/>
  <sheetViews>
    <sheetView topLeftCell="B1" workbookViewId="0">
      <selection activeCell="U6" sqref="U6"/>
    </sheetView>
  </sheetViews>
  <sheetFormatPr defaultRowHeight="15" x14ac:dyDescent="0.25"/>
  <cols>
    <col min="1" max="1" width="16.42578125" bestFit="1" customWidth="1"/>
    <col min="8" max="8" width="16.28515625" bestFit="1" customWidth="1"/>
    <col min="11" max="11" width="10.7109375" bestFit="1" customWidth="1"/>
    <col min="12" max="12" width="15.85546875" customWidth="1"/>
    <col min="14" max="14" width="12.42578125" bestFit="1" customWidth="1"/>
    <col min="16" max="16" width="17.7109375" bestFit="1" customWidth="1"/>
    <col min="18" max="18" width="13.85546875" bestFit="1" customWidth="1"/>
    <col min="23" max="23" width="32.5703125" bestFit="1" customWidth="1"/>
    <col min="26" max="26" width="15.85546875" bestFit="1" customWidth="1"/>
  </cols>
  <sheetData>
    <row r="5" spans="1:27" x14ac:dyDescent="0.25">
      <c r="A5" t="s">
        <v>14</v>
      </c>
      <c r="B5" t="s">
        <v>26</v>
      </c>
      <c r="D5" t="s">
        <v>27</v>
      </c>
      <c r="F5" t="s">
        <v>26</v>
      </c>
      <c r="H5" t="s">
        <v>28</v>
      </c>
      <c r="J5" t="s">
        <v>17</v>
      </c>
      <c r="L5" t="s">
        <v>35</v>
      </c>
      <c r="M5" t="s">
        <v>38</v>
      </c>
      <c r="P5" t="s">
        <v>7</v>
      </c>
      <c r="U5" t="s">
        <v>8</v>
      </c>
      <c r="Z5" t="s">
        <v>1</v>
      </c>
      <c r="AA5" t="s">
        <v>26</v>
      </c>
    </row>
    <row r="6" spans="1:27" x14ac:dyDescent="0.25">
      <c r="I6" t="s">
        <v>34</v>
      </c>
      <c r="J6">
        <v>1</v>
      </c>
      <c r="L6" t="s">
        <v>36</v>
      </c>
      <c r="M6">
        <v>1234</v>
      </c>
      <c r="N6" t="s">
        <v>39</v>
      </c>
      <c r="Q6">
        <v>1</v>
      </c>
      <c r="R6" t="s">
        <v>45</v>
      </c>
      <c r="V6">
        <v>1</v>
      </c>
      <c r="W6" t="s">
        <v>21</v>
      </c>
      <c r="AA6" t="s">
        <v>25</v>
      </c>
    </row>
    <row r="7" spans="1:27" x14ac:dyDescent="0.25">
      <c r="I7" t="s">
        <v>29</v>
      </c>
      <c r="J7">
        <v>2</v>
      </c>
      <c r="L7" t="s">
        <v>36</v>
      </c>
      <c r="M7">
        <v>4321</v>
      </c>
      <c r="N7" t="s">
        <v>40</v>
      </c>
      <c r="Q7">
        <v>2</v>
      </c>
      <c r="R7" t="s">
        <v>46</v>
      </c>
      <c r="V7">
        <v>2</v>
      </c>
      <c r="W7" t="s">
        <v>22</v>
      </c>
    </row>
    <row r="8" spans="1:27" x14ac:dyDescent="0.25">
      <c r="I8" t="s">
        <v>30</v>
      </c>
      <c r="J8">
        <v>3</v>
      </c>
      <c r="L8" t="s">
        <v>36</v>
      </c>
      <c r="M8">
        <v>1212</v>
      </c>
      <c r="N8" t="s">
        <v>41</v>
      </c>
      <c r="Q8">
        <v>3</v>
      </c>
      <c r="R8" t="s">
        <v>0</v>
      </c>
      <c r="V8">
        <v>3</v>
      </c>
      <c r="W8" t="s">
        <v>23</v>
      </c>
    </row>
    <row r="9" spans="1:27" x14ac:dyDescent="0.25">
      <c r="I9" t="s">
        <v>31</v>
      </c>
      <c r="J9">
        <v>4</v>
      </c>
      <c r="L9" t="s">
        <v>37</v>
      </c>
      <c r="M9">
        <v>2121</v>
      </c>
      <c r="N9" t="s">
        <v>42</v>
      </c>
      <c r="Q9">
        <v>4</v>
      </c>
      <c r="R9" t="s">
        <v>47</v>
      </c>
      <c r="V9">
        <v>4</v>
      </c>
      <c r="W9" t="s">
        <v>24</v>
      </c>
    </row>
    <row r="10" spans="1:27" x14ac:dyDescent="0.25">
      <c r="I10" t="s">
        <v>32</v>
      </c>
      <c r="J10">
        <v>5</v>
      </c>
      <c r="L10" t="s">
        <v>37</v>
      </c>
      <c r="M10">
        <v>1313</v>
      </c>
      <c r="N10" t="s">
        <v>43</v>
      </c>
    </row>
    <row r="11" spans="1:27" x14ac:dyDescent="0.25">
      <c r="I11" t="s">
        <v>33</v>
      </c>
      <c r="J11">
        <v>6</v>
      </c>
      <c r="L11" t="s">
        <v>37</v>
      </c>
      <c r="M11">
        <v>3131</v>
      </c>
      <c r="N11" t="s">
        <v>44</v>
      </c>
    </row>
    <row r="12" spans="1:27" x14ac:dyDescent="0.25">
      <c r="L12" t="s">
        <v>2</v>
      </c>
    </row>
    <row r="13" spans="1:27" x14ac:dyDescent="0.25">
      <c r="L13" t="s">
        <v>2</v>
      </c>
    </row>
    <row r="14" spans="1:27" x14ac:dyDescent="0.25">
      <c r="L14" t="s">
        <v>2</v>
      </c>
    </row>
    <row r="15" spans="1:27" x14ac:dyDescent="0.25">
      <c r="L15" t="s">
        <v>2</v>
      </c>
    </row>
    <row r="16" spans="1:27" x14ac:dyDescent="0.25">
      <c r="L16" t="s">
        <v>2</v>
      </c>
    </row>
    <row r="17" spans="12:12" x14ac:dyDescent="0.25">
      <c r="L17" t="s">
        <v>2</v>
      </c>
    </row>
    <row r="18" spans="12:12" x14ac:dyDescent="0.25">
      <c r="L18" t="s">
        <v>2</v>
      </c>
    </row>
    <row r="19" spans="12:12" x14ac:dyDescent="0.25">
      <c r="L19" t="s">
        <v>2</v>
      </c>
    </row>
    <row r="20" spans="12:12" x14ac:dyDescent="0.25">
      <c r="L20" t="s">
        <v>2</v>
      </c>
    </row>
    <row r="21" spans="12:12" x14ac:dyDescent="0.25">
      <c r="L21" t="s">
        <v>2</v>
      </c>
    </row>
    <row r="22" spans="12:12" x14ac:dyDescent="0.25">
      <c r="L22" t="s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Front</vt:lpstr>
      <vt:lpstr>Prices</vt:lpstr>
      <vt:lpstr>Data 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2020-08-20T17:13:14Z</dcterms:modified>
</cp:coreProperties>
</file>